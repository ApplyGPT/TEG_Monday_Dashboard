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Estevao Cavalcante\Documents\ApplyGPT\TEG_Monday_Dashboard\inputs\"/>
    </mc:Choice>
  </mc:AlternateContent>
  <xr:revisionPtr revIDLastSave="0" documentId="13_ncr:1_{51E0458E-E7D1-4DC6-8A22-22DF21BEE966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DEVELOPMENT ONLY" sheetId="1" r:id="rId1"/>
    <sheet name="ACTIVEWEAR DEVELOPMENT" sheetId="2" r:id="rId2"/>
    <sheet name="DEV &amp; INSPECTION" sheetId="3" r:id="rId3"/>
    <sheet name="INSPECTION ONLY" sheetId="4" r:id="rId4"/>
    <sheet name="ADDITIONAL SAMPLES" sheetId="5" r:id="rId5"/>
    <sheet name="A LA CARTE" sheetId="6" r:id="rId6"/>
    <sheet name="PRODUCTION" sheetId="7" r:id="rId7"/>
    <sheet name="BLAN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Ju0UC2uPjmrpeDUB+xcHMHxaX0Uk0hUzpmdN4bYxToY="/>
    </ext>
  </extLst>
</workbook>
</file>

<file path=xl/calcChain.xml><?xml version="1.0" encoding="utf-8"?>
<calcChain xmlns="http://schemas.openxmlformats.org/spreadsheetml/2006/main">
  <c r="L27" i="8" l="1"/>
  <c r="L25" i="8"/>
  <c r="L23" i="8"/>
  <c r="E23" i="8"/>
  <c r="L21" i="8"/>
  <c r="E21" i="8"/>
  <c r="N16" i="8"/>
  <c r="H16" i="8"/>
  <c r="N14" i="8"/>
  <c r="H14" i="8"/>
  <c r="N12" i="8"/>
  <c r="H12" i="8"/>
  <c r="N10" i="8"/>
  <c r="N18" i="8" s="1"/>
  <c r="R14" i="8" s="1"/>
  <c r="H10" i="8"/>
  <c r="H18" i="8" s="1"/>
  <c r="R10" i="8" s="1"/>
  <c r="R6" i="8"/>
  <c r="C32" i="7"/>
  <c r="C28" i="7"/>
  <c r="M23" i="7"/>
  <c r="E22" i="7"/>
  <c r="B22" i="7"/>
  <c r="E21" i="7"/>
  <c r="E23" i="7" s="1"/>
  <c r="C36" i="7" s="1"/>
  <c r="B21" i="7"/>
  <c r="C12" i="7"/>
  <c r="Q11" i="7"/>
  <c r="Q12" i="7" s="1"/>
  <c r="C31" i="7" s="1"/>
  <c r="M11" i="7"/>
  <c r="M12" i="7" s="1"/>
  <c r="C30" i="7" s="1"/>
  <c r="H11" i="7"/>
  <c r="H12" i="7" s="1"/>
  <c r="C29" i="7" s="1"/>
  <c r="Q10" i="7"/>
  <c r="B2" i="7"/>
  <c r="E25" i="6"/>
  <c r="O23" i="6"/>
  <c r="O21" i="6"/>
  <c r="O19" i="6"/>
  <c r="E19" i="6"/>
  <c r="O17" i="6"/>
  <c r="E17" i="6"/>
  <c r="Q12" i="6"/>
  <c r="K12" i="6"/>
  <c r="F12" i="6"/>
  <c r="Q10" i="6"/>
  <c r="Q14" i="6" s="1"/>
  <c r="U12" i="6" s="1"/>
  <c r="H10" i="6"/>
  <c r="F10" i="6"/>
  <c r="I10" i="6" s="1"/>
  <c r="K10" i="6" s="1"/>
  <c r="K14" i="6" s="1"/>
  <c r="U10" i="6" s="1"/>
  <c r="E10" i="6"/>
  <c r="U6" i="6"/>
  <c r="J12" i="5"/>
  <c r="H12" i="5"/>
  <c r="H10" i="5"/>
  <c r="J10" i="5" s="1"/>
  <c r="J14" i="5" s="1"/>
  <c r="N10" i="5" s="1"/>
  <c r="N14" i="5" s="1"/>
  <c r="N6" i="5"/>
  <c r="E25" i="4"/>
  <c r="M23" i="4"/>
  <c r="M21" i="4"/>
  <c r="M19" i="4"/>
  <c r="E19" i="4"/>
  <c r="M17" i="4"/>
  <c r="E17" i="4"/>
  <c r="O12" i="4"/>
  <c r="I12" i="4"/>
  <c r="O10" i="4"/>
  <c r="O14" i="4" s="1"/>
  <c r="S12" i="4" s="1"/>
  <c r="I10" i="4"/>
  <c r="I14" i="4" s="1"/>
  <c r="S10" i="4" s="1"/>
  <c r="S6" i="4"/>
  <c r="U25" i="3"/>
  <c r="U23" i="3"/>
  <c r="U21" i="3"/>
  <c r="U19" i="3"/>
  <c r="W16" i="3"/>
  <c r="AA14" i="3"/>
  <c r="W14" i="3"/>
  <c r="W12" i="3"/>
  <c r="K12" i="3"/>
  <c r="Q12" i="3" s="1"/>
  <c r="Q16" i="3" s="1"/>
  <c r="AA12" i="3" s="1"/>
  <c r="W10" i="3"/>
  <c r="F10" i="3"/>
  <c r="F16" i="3" s="1"/>
  <c r="AA10" i="3" s="1"/>
  <c r="AA16" i="3" s="1"/>
  <c r="AA6" i="3"/>
  <c r="D25" i="2"/>
  <c r="J23" i="2"/>
  <c r="J21" i="2"/>
  <c r="J19" i="2"/>
  <c r="D19" i="2"/>
  <c r="J17" i="2"/>
  <c r="D17" i="2"/>
  <c r="L12" i="2"/>
  <c r="F12" i="2"/>
  <c r="L10" i="2"/>
  <c r="L14" i="2" s="1"/>
  <c r="P12" i="2" s="1"/>
  <c r="F10" i="2"/>
  <c r="F14" i="2" s="1"/>
  <c r="P10" i="2" s="1"/>
  <c r="P6" i="2"/>
  <c r="D31" i="1"/>
  <c r="J29" i="1"/>
  <c r="J27" i="1"/>
  <c r="J25" i="1"/>
  <c r="D25" i="1"/>
  <c r="J23" i="1"/>
  <c r="D23" i="1"/>
  <c r="L18" i="1"/>
  <c r="F18" i="1"/>
  <c r="L16" i="1"/>
  <c r="F16" i="1"/>
  <c r="L14" i="1"/>
  <c r="F14" i="1"/>
  <c r="L12" i="1"/>
  <c r="F12" i="1"/>
  <c r="L10" i="1"/>
  <c r="F10" i="1"/>
  <c r="P6" i="1"/>
  <c r="L20" i="1" l="1"/>
  <c r="P12" i="1" s="1"/>
  <c r="F20" i="1"/>
  <c r="P10" i="1" s="1"/>
  <c r="R18" i="8"/>
  <c r="C37" i="7"/>
  <c r="P14" i="2"/>
  <c r="S14" i="4"/>
  <c r="C33" i="7"/>
  <c r="C39" i="7" s="1"/>
  <c r="U14" i="6"/>
  <c r="P20" i="1" l="1"/>
  <c r="C41" i="7"/>
</calcChain>
</file>

<file path=xl/sharedStrings.xml><?xml version="1.0" encoding="utf-8"?>
<sst xmlns="http://schemas.openxmlformats.org/spreadsheetml/2006/main" count="440" uniqueCount="162">
  <si>
    <t>TEGMADE, JUST FOR</t>
  </si>
  <si>
    <t>JAMIE</t>
  </si>
  <si>
    <t>CLIENT EMAIL</t>
  </si>
  <si>
    <t>REPRESENTATIVE</t>
  </si>
  <si>
    <t xml:space="preserve"> THEA</t>
  </si>
  <si>
    <t>DATE</t>
  </si>
  <si>
    <t>DEVELOPMENT PACKAGE</t>
  </si>
  <si>
    <t>OPTIONAL ADD-ONS</t>
  </si>
  <si>
    <t>CONTRACT TOTALS</t>
  </si>
  <si>
    <t>#</t>
  </si>
  <si>
    <t>STYLE</t>
  </si>
  <si>
    <t>BASE PRICE</t>
  </si>
  <si>
    <t>COMPLEXITY</t>
  </si>
  <si>
    <t>TOTAL</t>
  </si>
  <si>
    <t>WASH/DYE</t>
  </si>
  <si>
    <t>DESIGN</t>
  </si>
  <si>
    <t>SOURCING</t>
  </si>
  <si>
    <t>TREATMENT</t>
  </si>
  <si>
    <t>DRESS</t>
  </si>
  <si>
    <t>TOTAL DEVELOPMENT</t>
  </si>
  <si>
    <t>JACKET</t>
  </si>
  <si>
    <t>TOTAL OPTIONAL ADD-ONS</t>
  </si>
  <si>
    <t>T-SHIRT</t>
  </si>
  <si>
    <t>SKIRT</t>
  </si>
  <si>
    <t>LS SHIRT</t>
  </si>
  <si>
    <t>TOTAL DUE AT SIGNING</t>
  </si>
  <si>
    <t>DELIVERABLES</t>
  </si>
  <si>
    <t>NOTES</t>
  </si>
  <si>
    <t>PROJECT  NOTES</t>
  </si>
  <si>
    <t xml:space="preserve">PATTERNS </t>
  </si>
  <si>
    <t>**DESIGNS ARE REVIEWED FOR COMPLEXITIES BY PATTERN-MAKER, SURCHARGE APPLIES</t>
  </si>
  <si>
    <t>WASH/TREATMENT</t>
  </si>
  <si>
    <t xml:space="preserve">**VENDORS (MATERIALS/TREATMENTS) ARE PAID SEPARATELY BY CLIENT                                </t>
  </si>
  <si>
    <t>TREATMENT = EMBROIDERY</t>
  </si>
  <si>
    <t>FIRST SAMPLES</t>
  </si>
  <si>
    <t>ROUND OF FITTINGS</t>
  </si>
  <si>
    <t>**DEVELOPMENT DOES NOT INCLUDE: GRADING, MARKING, FABRIC OR TRIM COSTS, TREATMENTS, SHIPPING, OR BULK PRODUCTION INVENTORY</t>
  </si>
  <si>
    <t xml:space="preserve">**SOURCING ASSUMES MATERIALS ARE SHARED (IF ANY), CHANGES DURING THE PROCESS, WILL INCUR ADDITIONAL BILLING, TBD BY HOURS NEEDED </t>
  </si>
  <si>
    <t>ROUND OF REVISIONS</t>
  </si>
  <si>
    <t>FINAL SAMPLES</t>
  </si>
  <si>
    <t>MARKETING</t>
  </si>
  <si>
    <t>CLIENT NAME</t>
  </si>
  <si>
    <t xml:space="preserve"> BRIAN DINH</t>
  </si>
  <si>
    <t>LEGGING</t>
  </si>
  <si>
    <t>SPORTS BRA</t>
  </si>
  <si>
    <t>NOTES ABOUT THE PROJECT</t>
  </si>
  <si>
    <t>emily@azimuth.partners</t>
  </si>
  <si>
    <t>PHONE NUMBER</t>
  </si>
  <si>
    <t>(518) 424-1674</t>
  </si>
  <si>
    <t>GABRIELA</t>
  </si>
  <si>
    <t>INSPECTION &amp; DUPLICATE PACKAGE</t>
  </si>
  <si>
    <t>INTAKE</t>
  </si>
  <si>
    <t>INSPECTION</t>
  </si>
  <si>
    <t>FITTING</t>
  </si>
  <si>
    <t>1ST SAMPLE</t>
  </si>
  <si>
    <t>REVISIONS</t>
  </si>
  <si>
    <t>2ND SAMPLE</t>
  </si>
  <si>
    <t>COSTING</t>
  </si>
  <si>
    <t>TBD</t>
  </si>
  <si>
    <t>TOTAL INSPECTION &amp; DUPLICATE</t>
  </si>
  <si>
    <t>INTAKE SESSION</t>
  </si>
  <si>
    <t>** PATTERN MAKER WILL DETERMINE PATTERN USABILITY, ANY ISSUES WILL BE NOTED AND INFORMED FOR ADDITIONAL STEPS, ADJUSTMENTS CAN BE BOOKED AT THE HOURLY RATE OF $190/HR</t>
  </si>
  <si>
    <t>PRODUCTION COSTING</t>
  </si>
  <si>
    <t>**UP TO 5 STYLES-CREDITED TOWARDS PRODUCTION</t>
  </si>
  <si>
    <t>**FABRIC &amp; TRIMS WILL BE SUPPLIED BY CUSTOMER</t>
  </si>
  <si>
    <t>**INSPECTION DOES NOT INCLUDE: GRADING, MARKING, FABRIC OR TRIM COSTS, FITTINGS OR REVISIONS, TREATMENTS, SHIPPING, OR BULK PRODUCTION INVENTORY</t>
  </si>
  <si>
    <t>**ADDITIONAL FITTINGS ARE NOT INCLUDED. CAN BE BILLED SEPARATELY AT $190/HR</t>
  </si>
  <si>
    <t>ADJUSTMENT</t>
  </si>
  <si>
    <t>SAMPLE</t>
  </si>
  <si>
    <t>PLANNING</t>
  </si>
  <si>
    <t>**COMPLEXITIES OBSERVED BY PATTERN MAKER, SURCHARGES APPLIES</t>
  </si>
  <si>
    <t>ADDITIONAL NEEDS</t>
  </si>
  <si>
    <t>SERVICE</t>
  </si>
  <si>
    <t>RATE</t>
  </si>
  <si>
    <t>SAMPLES</t>
  </si>
  <si>
    <t>RUSH FEE</t>
  </si>
  <si>
    <t>TOP</t>
  </si>
  <si>
    <t>TOTAL ADDITIONAL SAMPLES</t>
  </si>
  <si>
    <t>MARKER PRINT-OUT</t>
  </si>
  <si>
    <t>A LA CARTE PACKAGE</t>
  </si>
  <si>
    <t>PATTERN</t>
  </si>
  <si>
    <t>FINAL SAMPLE</t>
  </si>
  <si>
    <t>WEDDING GOWN</t>
  </si>
  <si>
    <t>TOTAL A LA CARTE</t>
  </si>
  <si>
    <t>A LA CARTE BREAKDOWN</t>
  </si>
  <si>
    <t>INTAKE $190/HR</t>
  </si>
  <si>
    <t>PATTERN $190/HR</t>
  </si>
  <si>
    <t>FITTING $190/HR</t>
  </si>
  <si>
    <t xml:space="preserve">**DEVELOPMENT DOES NOT INCLUDE: GRADING, MARKING, FABRIC OR TRIM COSTS, TREATMENTS, SHIPPING, OR BULK PRODUCTION INVENTORY	
</t>
  </si>
  <si>
    <t>ROUND OF ADJUSTMENTS</t>
  </si>
  <si>
    <t>ADJUSTMENT $190/HR</t>
  </si>
  <si>
    <t>SAMPLE $450/PER</t>
  </si>
  <si>
    <t>CLIENT</t>
  </si>
  <si>
    <t>LABEL:</t>
  </si>
  <si>
    <t>PRE-PRODUCTION</t>
  </si>
  <si>
    <t>SIZES OFFERED:</t>
  </si>
  <si>
    <t>ONE SIZE</t>
  </si>
  <si>
    <t>RATES</t>
  </si>
  <si>
    <t>DESCRIPTION</t>
  </si>
  <si>
    <t>MANAGEMENT</t>
  </si>
  <si>
    <t>GRADING</t>
  </si>
  <si>
    <t># OF SIZES</t>
  </si>
  <si>
    <t>MARKING</t>
  </si>
  <si>
    <t>CUTTING</t>
  </si>
  <si>
    <t>CUTTING COMPLEXITY %</t>
  </si>
  <si>
    <t xml:space="preserve"> TOTAL </t>
  </si>
  <si>
    <t>JEAN</t>
  </si>
  <si>
    <t>TOTAL MANAGEMENT</t>
  </si>
  <si>
    <t>TOTAL GRADING</t>
  </si>
  <si>
    <t>TOTAL MARKER</t>
  </si>
  <si>
    <t>TOTAL CUTTING</t>
  </si>
  <si>
    <t>* THERE IS A $180/STYLE GRADING MINIMUM ON NEW ORDERS</t>
  </si>
  <si>
    <t>* IF FABRIC REQUIRES PRINT-MATCHING, CUTTING INDIVIDUALLY, SEQUIN OR TEXTURED FABRIC, ETC., A SURCHARGE WILL ACCRUE FOR CUTTING SERVICES</t>
  </si>
  <si>
    <t>SEWING ONLY</t>
  </si>
  <si>
    <t>SOURCING REFRESH</t>
  </si>
  <si>
    <t>QUANTITY</t>
  </si>
  <si>
    <t>COLORWAYS</t>
  </si>
  <si>
    <t>#1</t>
  </si>
  <si>
    <t>#2</t>
  </si>
  <si>
    <t>TOTAL SEWING ONLY</t>
  </si>
  <si>
    <t>TOTAL SOURCING REFRESH</t>
  </si>
  <si>
    <t>PRODUCTION CONTRACT TOTALS</t>
  </si>
  <si>
    <t>*ONE TIME FEE</t>
  </si>
  <si>
    <t>TOTAL MARKERS</t>
  </si>
  <si>
    <t>TOTAL PRE-PRODUCTION</t>
  </si>
  <si>
    <t>PRODUCTION SEWING</t>
  </si>
  <si>
    <t xml:space="preserve">50% DEPOSIT </t>
  </si>
  <si>
    <t>50% COD</t>
  </si>
  <si>
    <t xml:space="preserve">TOTAL CONTRACT AMOUNT </t>
  </si>
  <si>
    <t>PRODUCTION</t>
  </si>
  <si>
    <t>PRE-PRODUCTION &amp; OPTIONAL ADD-ONS</t>
  </si>
  <si>
    <t>CATEGORY</t>
  </si>
  <si>
    <t>PRICE PER</t>
  </si>
  <si>
    <t>UNITS</t>
  </si>
  <si>
    <t xml:space="preserve"> APPROVED SAMPLE</t>
  </si>
  <si>
    <t>PRODUCTION MANAGEMENT</t>
  </si>
  <si>
    <t xml:space="preserve">LABEL DESIGN </t>
  </si>
  <si>
    <t>TEG-LW-004</t>
  </si>
  <si>
    <t>LOUNGEWEAR WOMEN'S</t>
  </si>
  <si>
    <t xml:space="preserve"> WOVEN CAMISOLE </t>
  </si>
  <si>
    <t>TOTAL PRODUCTION</t>
  </si>
  <si>
    <t>TEG-LW-005K</t>
  </si>
  <si>
    <t xml:space="preserve">KNIT LOUNGE SHORT </t>
  </si>
  <si>
    <t>TEG-SW-004</t>
  </si>
  <si>
    <t>STREETWEAR - CLASSICS</t>
  </si>
  <si>
    <t>SHORT SLEEVE TEE</t>
  </si>
  <si>
    <t>TOTAL PRE-PRODUCTION &amp; OPTIONAL ADD-ONS</t>
  </si>
  <si>
    <t>TEG-SW-001</t>
  </si>
  <si>
    <t xml:space="preserve">CREW NECK SWEATSHIRT </t>
  </si>
  <si>
    <t>TOTAL PRE-PRODUCTION &amp;  OPTIONAL ADD-ONS</t>
  </si>
  <si>
    <t>STYLES</t>
  </si>
  <si>
    <t>*PRODUCTION PRICING REFLECTS, FABRIC COSTS, SEWING COSTS, AND FINISHING COSTS</t>
  </si>
  <si>
    <t>APPROVED SAMPLE</t>
  </si>
  <si>
    <t>*CUSTOM SOURCING CAN BE REQUESTED AT $1295.00</t>
  </si>
  <si>
    <t>PRODUCTION UNITS</t>
  </si>
  <si>
    <t>CUTTING FOR EACH STYLE</t>
  </si>
  <si>
    <t xml:space="preserve"> *PRODUCTION IS CONTRACTED AT 8-12 WEEKS AFTER TOP SAMPLE IS APPROVED</t>
  </si>
  <si>
    <t>*LABEL DESIGN, DOES NOT INCLUDE PRICE OF THE LABELS</t>
  </si>
  <si>
    <t>LABEL DESIGN</t>
  </si>
  <si>
    <t>*PRODUCTION CAN BE DIVIDED INTO ALL SIZES &amp; 2 COLORS</t>
  </si>
  <si>
    <t>CUSTOM SOURCING</t>
  </si>
  <si>
    <t>DISCOUNT (20%)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</si>
</sst>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"/>
    <numFmt numFmtId="165" formatCode="_-&quot;$&quot;* #,##0.00_-;\-&quot;$&quot;* #,##0.00_-;_-&quot;$&quot;* &quot;-&quot;??_-;_-@"/>
    <numFmt numFmtId="166" formatCode="_(&quot;$&quot;* #,##0.00_);_(&quot;$&quot;* \(#,##0.00\);_(&quot;$&quot;* &quot;-&quot;??_);_(@_)"/>
    <numFmt numFmtId="167" formatCode="&quot;$&quot;#,##0.00_);[Red]\(&quot;$&quot;#,##0.00\)"/>
    <numFmt numFmtId="168" formatCode="&quot;$&quot;#,##0_);[Red]\(&quot;$&quot;#,##0\)"/>
    <numFmt numFmtId="169" formatCode="_(&quot;$&quot;* #,##0_);_(&quot;$&quot;* \(#,##0\);_(&quot;$&quot;* &quot;-&quot;??_);_(@_)"/>
  </numFmts>
  <fonts count="52">
    <font>
      <sz val="10"/>
      <color rgb="FF000000"/>
      <name val="Arial"/>
      <scheme val="minor"/>
    </font>
    <font>
      <sz val="10"/>
      <color theme="1"/>
      <name val="Schibsted Grotesk"/>
    </font>
    <font>
      <b/>
      <sz val="48"/>
      <color theme="1"/>
      <name val="Schibsted Grotesk"/>
    </font>
    <font>
      <b/>
      <sz val="48"/>
      <color rgb="FFC9A57A"/>
      <name val="Schibsted Grotesk"/>
    </font>
    <font>
      <b/>
      <sz val="20"/>
      <color theme="1"/>
      <name val="Schibsted Grotesk"/>
    </font>
    <font>
      <sz val="10"/>
      <name val="Arial"/>
    </font>
    <font>
      <u/>
      <sz val="20"/>
      <color theme="10"/>
      <name val="Arial"/>
    </font>
    <font>
      <sz val="14"/>
      <color theme="1"/>
      <name val="Schibsted Grotesk"/>
    </font>
    <font>
      <sz val="20"/>
      <color theme="1"/>
      <name val="Arial"/>
    </font>
    <font>
      <sz val="20"/>
      <color theme="1"/>
      <name val="Schibsted Grotesk"/>
    </font>
    <font>
      <sz val="19"/>
      <color theme="1"/>
      <name val="Arial"/>
    </font>
    <font>
      <sz val="10"/>
      <color theme="1"/>
      <name val="Arial"/>
    </font>
    <font>
      <b/>
      <sz val="20"/>
      <color theme="1"/>
      <name val="Arial"/>
    </font>
    <font>
      <b/>
      <sz val="8"/>
      <color theme="1"/>
      <name val="Schibsted Grotesk"/>
    </font>
    <font>
      <sz val="10"/>
      <color rgb="FF000000"/>
      <name val="Arial"/>
    </font>
    <font>
      <b/>
      <sz val="48"/>
      <color rgb="FFC9A479"/>
      <name val="Schibsted Grotesk"/>
    </font>
    <font>
      <sz val="24"/>
      <color rgb="FF1155CC"/>
      <name val="Arial"/>
    </font>
    <font>
      <u/>
      <sz val="20"/>
      <color theme="10"/>
      <name val="Arial"/>
    </font>
    <font>
      <u/>
      <sz val="20"/>
      <color rgb="FF1155CC"/>
      <name val="Arial"/>
    </font>
    <font>
      <u/>
      <sz val="14"/>
      <color theme="10"/>
      <name val="Arial"/>
    </font>
    <font>
      <sz val="14"/>
      <color theme="1"/>
      <name val="Arial"/>
    </font>
    <font>
      <sz val="10"/>
      <color theme="1"/>
      <name val="Arial"/>
    </font>
    <font>
      <sz val="16"/>
      <color theme="1"/>
      <name val="Arial"/>
    </font>
    <font>
      <u/>
      <sz val="14"/>
      <color theme="10"/>
      <name val="Arial"/>
    </font>
    <font>
      <sz val="20"/>
      <color theme="4"/>
      <name val="Arial"/>
    </font>
    <font>
      <b/>
      <sz val="14"/>
      <color theme="1"/>
      <name val="Schibsted Grotesk"/>
    </font>
    <font>
      <u/>
      <sz val="14"/>
      <color theme="10"/>
      <name val="Arial"/>
    </font>
    <font>
      <b/>
      <sz val="16"/>
      <color theme="1"/>
      <name val="Schibsted Grotesk"/>
    </font>
    <font>
      <sz val="16"/>
      <color theme="1"/>
      <name val="Schibsted Grotesk"/>
    </font>
    <font>
      <b/>
      <sz val="12"/>
      <color theme="1"/>
      <name val="Arial"/>
    </font>
    <font>
      <sz val="12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u/>
      <sz val="11"/>
      <color theme="1"/>
      <name val="Arial"/>
    </font>
    <font>
      <i/>
      <sz val="11"/>
      <color rgb="FF000000"/>
      <name val="Arial"/>
    </font>
    <font>
      <b/>
      <sz val="12"/>
      <color rgb="FF000000"/>
      <name val="Arial"/>
    </font>
    <font>
      <b/>
      <sz val="11"/>
      <color rgb="FF000000"/>
      <name val="Arial"/>
    </font>
    <font>
      <i/>
      <sz val="12"/>
      <color rgb="FF000000"/>
      <name val="Arial"/>
    </font>
    <font>
      <sz val="12"/>
      <color theme="1"/>
      <name val="Arial"/>
    </font>
    <font>
      <u/>
      <sz val="12"/>
      <color rgb="FF000000"/>
      <name val="Arial"/>
    </font>
    <font>
      <b/>
      <u/>
      <sz val="11"/>
      <color rgb="FF000000"/>
      <name val="Arial"/>
    </font>
    <font>
      <sz val="11"/>
      <color theme="1"/>
      <name val="Arial"/>
    </font>
    <font>
      <u/>
      <sz val="12"/>
      <color rgb="FF000000"/>
      <name val="Arial"/>
    </font>
    <font>
      <u/>
      <sz val="11"/>
      <color theme="1"/>
      <name val="Arial"/>
    </font>
    <font>
      <u/>
      <sz val="11"/>
      <color theme="1"/>
      <name val="Arial"/>
    </font>
    <font>
      <u/>
      <sz val="12"/>
      <color rgb="FF000000"/>
      <name val="Arial"/>
    </font>
    <font>
      <u/>
      <sz val="11"/>
      <color rgb="FF000000"/>
      <name val="Arial"/>
    </font>
    <font>
      <i/>
      <sz val="11"/>
      <color theme="1"/>
      <name val="Arial"/>
    </font>
    <font>
      <b/>
      <u/>
      <sz val="12"/>
      <color theme="1"/>
      <name val="Arial"/>
    </font>
    <font>
      <b/>
      <u/>
      <sz val="12"/>
      <color theme="1"/>
      <name val="Arial"/>
    </font>
    <font>
      <b/>
      <sz val="11"/>
      <color rgb="FFF0F0EE"/>
      <name val="Arial"/>
    </font>
    <font>
      <sz val="11"/>
      <color rgb="FFF0F0EE"/>
      <name val="Arial"/>
    </font>
  </fonts>
  <fills count="20">
    <fill>
      <patternFill patternType="none"/>
    </fill>
    <fill>
      <patternFill patternType="gray125"/>
    </fill>
    <fill>
      <patternFill patternType="solid">
        <fgColor rgb="FFC9A479"/>
        <bgColor rgb="FFC9A479"/>
      </patternFill>
    </fill>
    <fill>
      <patternFill patternType="solid">
        <fgColor rgb="FF709171"/>
        <bgColor rgb="FF709171"/>
      </patternFill>
    </fill>
    <fill>
      <patternFill patternType="solid">
        <fgColor rgb="FFF0CFBB"/>
        <bgColor rgb="FFF0CFBB"/>
      </patternFill>
    </fill>
    <fill>
      <patternFill patternType="solid">
        <fgColor rgb="FFF0F0EE"/>
        <bgColor rgb="FFF0F0EE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5CFCB"/>
        <bgColor rgb="FFD5CFCB"/>
      </patternFill>
    </fill>
    <fill>
      <patternFill patternType="solid">
        <fgColor rgb="FFC9A57A"/>
        <bgColor rgb="FFC9A57A"/>
      </patternFill>
    </fill>
    <fill>
      <patternFill patternType="solid">
        <fgColor rgb="FFFFC499"/>
        <bgColor rgb="FFFFC499"/>
      </patternFill>
    </fill>
    <fill>
      <patternFill patternType="solid">
        <fgColor rgb="FF8FD7DC"/>
        <bgColor rgb="FF8FD7DC"/>
      </patternFill>
    </fill>
    <fill>
      <patternFill patternType="solid">
        <fgColor rgb="FFBFBFBF"/>
        <bgColor rgb="FFBFBFBF"/>
      </patternFill>
    </fill>
    <fill>
      <patternFill patternType="solid">
        <fgColor theme="0" tint="-4.9989318521683403E-2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0CFBB"/>
      </patternFill>
    </fill>
    <fill>
      <patternFill patternType="solid">
        <fgColor rgb="FFA07946"/>
        <bgColor indexed="64"/>
      </patternFill>
    </fill>
    <fill>
      <patternFill patternType="solid">
        <fgColor rgb="FFA07946"/>
        <bgColor rgb="FFF0F0EE"/>
      </patternFill>
    </fill>
  </fills>
  <borders count="8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7" fillId="0" borderId="0" xfId="0" applyFont="1"/>
    <xf numFmtId="0" fontId="4" fillId="2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0" fontId="9" fillId="0" borderId="0" xfId="0" applyFont="1"/>
    <xf numFmtId="0" fontId="9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4" fillId="6" borderId="5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164" fontId="4" fillId="3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1" fillId="0" borderId="0" xfId="0" applyFont="1"/>
    <xf numFmtId="0" fontId="11" fillId="0" borderId="14" xfId="0" applyFont="1" applyBorder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3" borderId="19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17" fillId="0" borderId="6" xfId="0" applyFont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20" fillId="0" borderId="0" xfId="0" applyFont="1"/>
    <xf numFmtId="0" fontId="11" fillId="0" borderId="0" xfId="0" applyFont="1" applyAlignment="1">
      <alignment horizontal="center" vertical="center"/>
    </xf>
    <xf numFmtId="164" fontId="4" fillId="10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8" fillId="0" borderId="0" xfId="0" applyFont="1"/>
    <xf numFmtId="0" fontId="4" fillId="6" borderId="5" xfId="0" applyFont="1" applyFill="1" applyBorder="1" applyAlignment="1">
      <alignment horizontal="center"/>
    </xf>
    <xf numFmtId="164" fontId="4" fillId="3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11" fillId="0" borderId="15" xfId="0" applyFont="1" applyBorder="1"/>
    <xf numFmtId="0" fontId="11" fillId="0" borderId="38" xfId="0" applyFont="1" applyBorder="1"/>
    <xf numFmtId="0" fontId="22" fillId="0" borderId="0" xfId="0" applyFont="1"/>
    <xf numFmtId="0" fontId="8" fillId="0" borderId="5" xfId="0" applyFont="1" applyBorder="1" applyAlignment="1">
      <alignment horizontal="left"/>
    </xf>
    <xf numFmtId="0" fontId="25" fillId="2" borderId="5" xfId="0" applyFont="1" applyFill="1" applyBorder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0" fontId="4" fillId="5" borderId="5" xfId="0" applyFont="1" applyFill="1" applyBorder="1"/>
    <xf numFmtId="0" fontId="9" fillId="6" borderId="39" xfId="0" applyFont="1" applyFill="1" applyBorder="1" applyAlignment="1">
      <alignment horizontal="center"/>
    </xf>
    <xf numFmtId="0" fontId="9" fillId="6" borderId="40" xfId="0" applyFont="1" applyFill="1" applyBorder="1" applyAlignment="1">
      <alignment horizontal="center"/>
    </xf>
    <xf numFmtId="0" fontId="4" fillId="6" borderId="41" xfId="0" applyFont="1" applyFill="1" applyBorder="1" applyAlignment="1">
      <alignment horizontal="center"/>
    </xf>
    <xf numFmtId="164" fontId="4" fillId="9" borderId="42" xfId="0" applyNumberFormat="1" applyFont="1" applyFill="1" applyBorder="1" applyAlignment="1">
      <alignment horizontal="center" vertical="center"/>
    </xf>
    <xf numFmtId="0" fontId="27" fillId="10" borderId="5" xfId="0" applyFont="1" applyFill="1" applyBorder="1" applyAlignment="1">
      <alignment horizontal="left" vertical="center"/>
    </xf>
    <xf numFmtId="0" fontId="28" fillId="0" borderId="0" xfId="0" applyFont="1"/>
    <xf numFmtId="0" fontId="27" fillId="4" borderId="5" xfId="0" applyFont="1" applyFill="1" applyBorder="1" applyAlignment="1">
      <alignment horizontal="left" vertical="center"/>
    </xf>
    <xf numFmtId="0" fontId="1" fillId="0" borderId="16" xfId="0" applyFont="1" applyBorder="1"/>
    <xf numFmtId="0" fontId="29" fillId="0" borderId="0" xfId="0" applyFont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14" fontId="30" fillId="0" borderId="6" xfId="0" applyNumberFormat="1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5" fontId="31" fillId="0" borderId="0" xfId="0" applyNumberFormat="1" applyFont="1" applyAlignment="1">
      <alignment horizontal="center" vertical="center"/>
    </xf>
    <xf numFmtId="166" fontId="32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0" fontId="35" fillId="11" borderId="5" xfId="0" applyFont="1" applyFill="1" applyBorder="1" applyAlignment="1">
      <alignment horizontal="center" vertical="center" wrapText="1"/>
    </xf>
    <xf numFmtId="0" fontId="36" fillId="8" borderId="43" xfId="0" applyFont="1" applyFill="1" applyBorder="1" applyAlignment="1">
      <alignment horizontal="center" vertical="center" wrapText="1"/>
    </xf>
    <xf numFmtId="0" fontId="29" fillId="11" borderId="5" xfId="0" applyFont="1" applyFill="1" applyBorder="1" applyAlignment="1">
      <alignment horizontal="center" vertical="center" wrapText="1"/>
    </xf>
    <xf numFmtId="165" fontId="35" fillId="11" borderId="5" xfId="0" applyNumberFormat="1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0" fillId="8" borderId="5" xfId="0" applyFont="1" applyFill="1" applyBorder="1" applyAlignment="1">
      <alignment horizontal="center" vertical="center"/>
    </xf>
    <xf numFmtId="164" fontId="30" fillId="8" borderId="5" xfId="0" applyNumberFormat="1" applyFont="1" applyFill="1" applyBorder="1" applyAlignment="1">
      <alignment horizontal="center" vertical="center"/>
    </xf>
    <xf numFmtId="0" fontId="31" fillId="8" borderId="43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9" fontId="37" fillId="0" borderId="5" xfId="0" applyNumberFormat="1" applyFont="1" applyBorder="1" applyAlignment="1">
      <alignment horizontal="center" vertical="center"/>
    </xf>
    <xf numFmtId="164" fontId="38" fillId="0" borderId="5" xfId="0" applyNumberFormat="1" applyFont="1" applyBorder="1" applyAlignment="1">
      <alignment horizontal="center" vertical="center"/>
    </xf>
    <xf numFmtId="166" fontId="31" fillId="0" borderId="0" xfId="0" applyNumberFormat="1" applyFont="1" applyAlignment="1">
      <alignment horizontal="center" vertical="center"/>
    </xf>
    <xf numFmtId="9" fontId="37" fillId="8" borderId="5" xfId="0" applyNumberFormat="1" applyFont="1" applyFill="1" applyBorder="1" applyAlignment="1">
      <alignment horizontal="center" vertical="center"/>
    </xf>
    <xf numFmtId="164" fontId="30" fillId="0" borderId="5" xfId="0" applyNumberFormat="1" applyFont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164" fontId="30" fillId="5" borderId="5" xfId="0" applyNumberFormat="1" applyFont="1" applyFill="1" applyBorder="1" applyAlignment="1">
      <alignment horizontal="center" vertical="center"/>
    </xf>
    <xf numFmtId="9" fontId="37" fillId="5" borderId="5" xfId="0" applyNumberFormat="1" applyFont="1" applyFill="1" applyBorder="1" applyAlignment="1">
      <alignment horizontal="center" vertical="center"/>
    </xf>
    <xf numFmtId="164" fontId="38" fillId="5" borderId="5" xfId="0" applyNumberFormat="1" applyFont="1" applyFill="1" applyBorder="1" applyAlignment="1">
      <alignment horizontal="center" vertical="center"/>
    </xf>
    <xf numFmtId="164" fontId="39" fillId="9" borderId="5" xfId="0" applyNumberFormat="1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31" fillId="0" borderId="0" xfId="0" applyFont="1" applyAlignment="1">
      <alignment vertical="center" wrapText="1"/>
    </xf>
    <xf numFmtId="0" fontId="35" fillId="11" borderId="5" xfId="0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 wrapText="1"/>
    </xf>
    <xf numFmtId="0" fontId="32" fillId="0" borderId="0" xfId="0" applyFont="1" applyAlignment="1">
      <alignment vertical="center" wrapText="1"/>
    </xf>
    <xf numFmtId="0" fontId="32" fillId="0" borderId="0" xfId="0" applyFont="1" applyAlignment="1">
      <alignment horizontal="center" vertical="center" wrapText="1"/>
    </xf>
    <xf numFmtId="168" fontId="30" fillId="0" borderId="5" xfId="0" applyNumberFormat="1" applyFont="1" applyBorder="1" applyAlignment="1">
      <alignment horizontal="center" vertical="center"/>
    </xf>
    <xf numFmtId="168" fontId="41" fillId="0" borderId="0" xfId="0" applyNumberFormat="1" applyFont="1" applyAlignment="1">
      <alignment horizontal="center" vertical="center"/>
    </xf>
    <xf numFmtId="166" fontId="41" fillId="0" borderId="0" xfId="0" applyNumberFormat="1" applyFont="1" applyAlignment="1">
      <alignment horizontal="center" vertical="center"/>
    </xf>
    <xf numFmtId="165" fontId="42" fillId="9" borderId="44" xfId="0" applyNumberFormat="1" applyFont="1" applyFill="1" applyBorder="1" applyAlignment="1">
      <alignment horizontal="center" vertical="center"/>
    </xf>
    <xf numFmtId="166" fontId="30" fillId="0" borderId="45" xfId="0" applyNumberFormat="1" applyFont="1" applyBorder="1" applyAlignment="1">
      <alignment horizontal="center" vertical="center"/>
    </xf>
    <xf numFmtId="168" fontId="43" fillId="0" borderId="0" xfId="0" applyNumberFormat="1" applyFont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168" fontId="45" fillId="9" borderId="5" xfId="0" applyNumberFormat="1" applyFont="1" applyFill="1" applyBorder="1" applyAlignment="1">
      <alignment horizontal="center" vertical="center"/>
    </xf>
    <xf numFmtId="165" fontId="46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9" fontId="30" fillId="9" borderId="46" xfId="0" applyNumberFormat="1" applyFont="1" applyFill="1" applyBorder="1" applyAlignment="1">
      <alignment horizontal="center" vertical="center"/>
    </xf>
    <xf numFmtId="169" fontId="48" fillId="12" borderId="46" xfId="0" applyNumberFormat="1" applyFont="1" applyFill="1" applyBorder="1" applyAlignment="1">
      <alignment horizontal="center" vertical="center"/>
    </xf>
    <xf numFmtId="169" fontId="49" fillId="13" borderId="46" xfId="0" applyNumberFormat="1" applyFont="1" applyFill="1" applyBorder="1" applyAlignment="1">
      <alignment horizontal="center" vertical="center"/>
    </xf>
    <xf numFmtId="169" fontId="29" fillId="14" borderId="42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164" fontId="41" fillId="0" borderId="0" xfId="0" applyNumberFormat="1" applyFont="1" applyAlignment="1">
      <alignment vertical="center"/>
    </xf>
    <xf numFmtId="9" fontId="41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64" fontId="51" fillId="0" borderId="0" xfId="0" applyNumberFormat="1" applyFont="1" applyAlignment="1">
      <alignment vertical="center"/>
    </xf>
    <xf numFmtId="164" fontId="32" fillId="0" borderId="0" xfId="0" applyNumberFormat="1" applyFont="1" applyAlignment="1">
      <alignment horizontal="center" vertical="center"/>
    </xf>
    <xf numFmtId="3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 wrapText="1"/>
    </xf>
    <xf numFmtId="0" fontId="9" fillId="5" borderId="47" xfId="0" applyFont="1" applyFill="1" applyBorder="1" applyAlignment="1">
      <alignment horizontal="center"/>
    </xf>
    <xf numFmtId="0" fontId="4" fillId="5" borderId="48" xfId="0" applyFont="1" applyFill="1" applyBorder="1" applyAlignment="1">
      <alignment horizontal="center"/>
    </xf>
    <xf numFmtId="0" fontId="4" fillId="5" borderId="49" xfId="0" applyFont="1" applyFill="1" applyBorder="1" applyAlignment="1">
      <alignment horizontal="center"/>
    </xf>
    <xf numFmtId="0" fontId="4" fillId="5" borderId="50" xfId="0" applyFont="1" applyFill="1" applyBorder="1" applyAlignment="1">
      <alignment horizontal="center"/>
    </xf>
    <xf numFmtId="0" fontId="4" fillId="5" borderId="47" xfId="0" applyFont="1" applyFill="1" applyBorder="1" applyAlignment="1">
      <alignment horizontal="center"/>
    </xf>
    <xf numFmtId="0" fontId="9" fillId="6" borderId="51" xfId="0" applyFont="1" applyFill="1" applyBorder="1" applyAlignment="1">
      <alignment horizontal="center"/>
    </xf>
    <xf numFmtId="0" fontId="9" fillId="6" borderId="52" xfId="0" applyFont="1" applyFill="1" applyBorder="1" applyAlignment="1">
      <alignment horizontal="center"/>
    </xf>
    <xf numFmtId="0" fontId="4" fillId="6" borderId="53" xfId="0" applyFont="1" applyFill="1" applyBorder="1" applyAlignment="1">
      <alignment horizontal="center"/>
    </xf>
    <xf numFmtId="0" fontId="7" fillId="0" borderId="0" xfId="0" applyFont="1" applyAlignment="1">
      <alignment vertical="center"/>
    </xf>
    <xf numFmtId="164" fontId="4" fillId="3" borderId="68" xfId="0" applyNumberFormat="1" applyFont="1" applyFill="1" applyBorder="1" applyAlignment="1">
      <alignment horizontal="center" vertical="center"/>
    </xf>
    <xf numFmtId="164" fontId="4" fillId="4" borderId="68" xfId="0" applyNumberFormat="1" applyFont="1" applyFill="1" applyBorder="1" applyAlignment="1">
      <alignment horizontal="center" vertical="center"/>
    </xf>
    <xf numFmtId="164" fontId="4" fillId="9" borderId="68" xfId="0" applyNumberFormat="1" applyFont="1" applyFill="1" applyBorder="1" applyAlignment="1">
      <alignment horizontal="center" vertical="center"/>
    </xf>
    <xf numFmtId="0" fontId="5" fillId="0" borderId="77" xfId="0" applyFont="1" applyBorder="1"/>
    <xf numFmtId="0" fontId="4" fillId="8" borderId="8" xfId="0" applyFont="1" applyFill="1" applyBorder="1" applyAlignment="1">
      <alignment horizontal="left" vertical="center"/>
    </xf>
    <xf numFmtId="0" fontId="5" fillId="0" borderId="9" xfId="0" applyFont="1" applyBorder="1"/>
    <xf numFmtId="0" fontId="5" fillId="0" borderId="11" xfId="0" applyFont="1" applyBorder="1"/>
    <xf numFmtId="0" fontId="5" fillId="0" borderId="12" xfId="0" applyFont="1" applyBorder="1"/>
    <xf numFmtId="164" fontId="8" fillId="19" borderId="7" xfId="0" applyNumberFormat="1" applyFont="1" applyFill="1" applyBorder="1" applyAlignment="1">
      <alignment horizontal="left" vertical="center"/>
    </xf>
    <xf numFmtId="0" fontId="5" fillId="18" borderId="10" xfId="0" applyFont="1" applyFill="1" applyBorder="1" applyAlignment="1">
      <alignment horizontal="left"/>
    </xf>
    <xf numFmtId="0" fontId="4" fillId="15" borderId="8" xfId="0" applyFont="1" applyFill="1" applyBorder="1" applyAlignment="1">
      <alignment horizontal="left" vertical="center"/>
    </xf>
    <xf numFmtId="0" fontId="5" fillId="16" borderId="9" xfId="0" applyFont="1" applyFill="1" applyBorder="1"/>
    <xf numFmtId="0" fontId="5" fillId="16" borderId="11" xfId="0" applyFont="1" applyFill="1" applyBorder="1"/>
    <xf numFmtId="0" fontId="5" fillId="16" borderId="12" xfId="0" applyFont="1" applyFill="1" applyBorder="1"/>
    <xf numFmtId="164" fontId="8" fillId="17" borderId="7" xfId="0" applyNumberFormat="1" applyFont="1" applyFill="1" applyBorder="1" applyAlignment="1">
      <alignment horizontal="left" vertical="center"/>
    </xf>
    <xf numFmtId="0" fontId="5" fillId="16" borderId="10" xfId="0" applyFont="1" applyFill="1" applyBorder="1"/>
    <xf numFmtId="0" fontId="8" fillId="5" borderId="8" xfId="0" applyFont="1" applyFill="1" applyBorder="1" applyAlignment="1">
      <alignment horizontal="left" vertical="center" wrapText="1"/>
    </xf>
    <xf numFmtId="0" fontId="5" fillId="0" borderId="13" xfId="0" applyFont="1" applyBorder="1"/>
    <xf numFmtId="0" fontId="5" fillId="0" borderId="16" xfId="0" applyFont="1" applyBorder="1"/>
    <xf numFmtId="0" fontId="8" fillId="0" borderId="8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5" fillId="0" borderId="4" xfId="0" applyFont="1" applyBorder="1"/>
    <xf numFmtId="0" fontId="4" fillId="2" borderId="1" xfId="0" applyFont="1" applyFill="1" applyBorder="1" applyAlignment="1">
      <alignment horizontal="left" vertical="center"/>
    </xf>
    <xf numFmtId="0" fontId="5" fillId="0" borderId="6" xfId="0" applyFont="1" applyBorder="1"/>
    <xf numFmtId="3" fontId="8" fillId="5" borderId="7" xfId="0" applyNumberFormat="1" applyFont="1" applyFill="1" applyBorder="1" applyAlignment="1">
      <alignment horizontal="center" vertical="center"/>
    </xf>
    <xf numFmtId="0" fontId="5" fillId="0" borderId="10" xfId="0" applyFont="1" applyBorder="1"/>
    <xf numFmtId="0" fontId="10" fillId="0" borderId="8" xfId="0" applyFont="1" applyBorder="1" applyAlignment="1">
      <alignment horizontal="left" vertical="center" wrapText="1"/>
    </xf>
    <xf numFmtId="0" fontId="5" fillId="0" borderId="14" xfId="0" applyFont="1" applyBorder="1"/>
    <xf numFmtId="0" fontId="5" fillId="0" borderId="15" xfId="0" applyFont="1" applyBorder="1"/>
    <xf numFmtId="0" fontId="8" fillId="5" borderId="7" xfId="0" applyFont="1" applyFill="1" applyBorder="1" applyAlignment="1">
      <alignment horizontal="center" vertical="center"/>
    </xf>
    <xf numFmtId="0" fontId="8" fillId="7" borderId="7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12" fillId="5" borderId="8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3" fontId="8" fillId="8" borderId="7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left" vertical="center"/>
    </xf>
    <xf numFmtId="164" fontId="8" fillId="0" borderId="7" xfId="0" applyNumberFormat="1" applyFont="1" applyBorder="1" applyAlignment="1">
      <alignment horizontal="center" vertical="center"/>
    </xf>
    <xf numFmtId="9" fontId="8" fillId="0" borderId="7" xfId="0" applyNumberFormat="1" applyFont="1" applyBorder="1" applyAlignment="1">
      <alignment horizontal="center" vertical="center"/>
    </xf>
    <xf numFmtId="0" fontId="4" fillId="5" borderId="8" xfId="0" applyFont="1" applyFill="1" applyBorder="1" applyAlignment="1">
      <alignment horizontal="left" vertical="center"/>
    </xf>
    <xf numFmtId="0" fontId="4" fillId="7" borderId="8" xfId="0" applyFont="1" applyFill="1" applyBorder="1" applyAlignment="1">
      <alignment horizontal="left" vertical="center"/>
    </xf>
    <xf numFmtId="164" fontId="8" fillId="4" borderId="7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8" fillId="7" borderId="7" xfId="0" applyFont="1" applyFill="1" applyBorder="1" applyAlignment="1">
      <alignment horizontal="left" vertical="center"/>
    </xf>
    <xf numFmtId="164" fontId="8" fillId="3" borderId="7" xfId="0" applyNumberFormat="1" applyFont="1" applyFill="1" applyBorder="1" applyAlignment="1">
      <alignment horizontal="left" vertical="center"/>
    </xf>
    <xf numFmtId="0" fontId="8" fillId="5" borderId="7" xfId="0" applyFont="1" applyFill="1" applyBorder="1" applyAlignment="1">
      <alignment horizontal="left" vertical="center"/>
    </xf>
    <xf numFmtId="164" fontId="8" fillId="5" borderId="7" xfId="0" applyNumberFormat="1" applyFont="1" applyFill="1" applyBorder="1" applyAlignment="1">
      <alignment horizontal="center" vertical="center"/>
    </xf>
    <xf numFmtId="9" fontId="8" fillId="5" borderId="7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/>
    </xf>
    <xf numFmtId="0" fontId="4" fillId="0" borderId="8" xfId="0" applyFont="1" applyBorder="1" applyAlignment="1">
      <alignment horizontal="left" vertical="center"/>
    </xf>
    <xf numFmtId="0" fontId="2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0" borderId="0" xfId="0" applyFont="1"/>
    <xf numFmtId="0" fontId="4" fillId="7" borderId="20" xfId="0" applyFont="1" applyFill="1" applyBorder="1" applyAlignment="1">
      <alignment horizontal="left" vertical="center"/>
    </xf>
    <xf numFmtId="0" fontId="5" fillId="0" borderId="21" xfId="0" applyFont="1" applyBorder="1"/>
    <xf numFmtId="0" fontId="5" fillId="0" borderId="25" xfId="0" applyFont="1" applyBorder="1"/>
    <xf numFmtId="0" fontId="5" fillId="0" borderId="26" xfId="0" applyFont="1" applyBorder="1"/>
    <xf numFmtId="0" fontId="4" fillId="5" borderId="20" xfId="0" applyFont="1" applyFill="1" applyBorder="1" applyAlignment="1">
      <alignment horizontal="left" vertical="center"/>
    </xf>
    <xf numFmtId="0" fontId="10" fillId="0" borderId="31" xfId="0" applyFont="1" applyBorder="1" applyAlignment="1">
      <alignment horizontal="left" vertical="center" wrapText="1"/>
    </xf>
    <xf numFmtId="0" fontId="5" fillId="0" borderId="24" xfId="0" applyFont="1" applyBorder="1"/>
    <xf numFmtId="0" fontId="4" fillId="3" borderId="17" xfId="0" applyFont="1" applyFill="1" applyBorder="1" applyAlignment="1">
      <alignment horizontal="left" vertical="center"/>
    </xf>
    <xf numFmtId="0" fontId="5" fillId="0" borderId="18" xfId="0" applyFont="1" applyBorder="1"/>
    <xf numFmtId="3" fontId="8" fillId="5" borderId="22" xfId="0" applyNumberFormat="1" applyFont="1" applyFill="1" applyBorder="1" applyAlignment="1">
      <alignment horizontal="center" vertical="center"/>
    </xf>
    <xf numFmtId="0" fontId="5" fillId="0" borderId="27" xfId="0" applyFont="1" applyBorder="1"/>
    <xf numFmtId="0" fontId="10" fillId="0" borderId="23" xfId="0" applyFont="1" applyBorder="1" applyAlignment="1">
      <alignment horizontal="left" vertical="center" wrapText="1"/>
    </xf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3" fontId="8" fillId="8" borderId="22" xfId="0" applyNumberFormat="1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5" fillId="0" borderId="32" xfId="0" applyFont="1" applyBorder="1"/>
    <xf numFmtId="0" fontId="8" fillId="5" borderId="22" xfId="0" applyFont="1" applyFill="1" applyBorder="1" applyAlignment="1">
      <alignment horizontal="center" vertical="center"/>
    </xf>
    <xf numFmtId="0" fontId="5" fillId="0" borderId="33" xfId="0" applyFont="1" applyBorder="1"/>
    <xf numFmtId="0" fontId="20" fillId="0" borderId="8" xfId="0" applyFont="1" applyBorder="1" applyAlignment="1">
      <alignment horizontal="center" vertical="center"/>
    </xf>
    <xf numFmtId="0" fontId="20" fillId="5" borderId="8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5" borderId="8" xfId="0" applyFont="1" applyFill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 wrapText="1"/>
    </xf>
    <xf numFmtId="3" fontId="8" fillId="5" borderId="7" xfId="0" applyNumberFormat="1" applyFont="1" applyFill="1" applyBorder="1" applyAlignment="1">
      <alignment horizontal="left" vertical="center"/>
    </xf>
    <xf numFmtId="0" fontId="8" fillId="8" borderId="8" xfId="0" applyFont="1" applyFill="1" applyBorder="1" applyAlignment="1">
      <alignment horizontal="left" vertical="center" wrapText="1"/>
    </xf>
    <xf numFmtId="164" fontId="21" fillId="0" borderId="7" xfId="0" applyNumberFormat="1" applyFont="1" applyBorder="1"/>
    <xf numFmtId="0" fontId="4" fillId="7" borderId="1" xfId="0" applyFont="1" applyFill="1" applyBorder="1" applyAlignment="1">
      <alignment horizontal="center" vertical="center"/>
    </xf>
    <xf numFmtId="3" fontId="10" fillId="8" borderId="8" xfId="0" applyNumberFormat="1" applyFont="1" applyFill="1" applyBorder="1" applyAlignment="1">
      <alignment horizontal="left" vertical="center" wrapText="1"/>
    </xf>
    <xf numFmtId="0" fontId="4" fillId="10" borderId="1" xfId="0" applyFont="1" applyFill="1" applyBorder="1" applyAlignment="1">
      <alignment horizontal="left" vertical="center"/>
    </xf>
    <xf numFmtId="164" fontId="8" fillId="10" borderId="7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/>
    </xf>
    <xf numFmtId="164" fontId="8" fillId="5" borderId="7" xfId="0" applyNumberFormat="1" applyFont="1" applyFill="1" applyBorder="1" applyAlignment="1">
      <alignment horizontal="center"/>
    </xf>
    <xf numFmtId="0" fontId="15" fillId="0" borderId="0" xfId="0" applyFont="1" applyAlignment="1">
      <alignment horizontal="left"/>
    </xf>
    <xf numFmtId="0" fontId="16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4" fillId="2" borderId="34" xfId="0" applyFont="1" applyFill="1" applyBorder="1" applyAlignment="1">
      <alignment horizontal="center" vertical="center"/>
    </xf>
    <xf numFmtId="0" fontId="5" fillId="0" borderId="36" xfId="0" applyFont="1" applyBorder="1"/>
    <xf numFmtId="0" fontId="5" fillId="0" borderId="35" xfId="0" applyFont="1" applyBorder="1"/>
    <xf numFmtId="0" fontId="22" fillId="5" borderId="20" xfId="0" applyFont="1" applyFill="1" applyBorder="1" applyAlignment="1">
      <alignment horizontal="center" vertical="center"/>
    </xf>
    <xf numFmtId="0" fontId="5" fillId="0" borderId="31" xfId="0" applyFont="1" applyBorder="1"/>
    <xf numFmtId="0" fontId="5" fillId="0" borderId="37" xfId="0" applyFont="1" applyBorder="1"/>
    <xf numFmtId="0" fontId="4" fillId="0" borderId="8" xfId="0" applyFont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center" vertical="center"/>
    </xf>
    <xf numFmtId="0" fontId="22" fillId="0" borderId="20" xfId="0" applyFont="1" applyBorder="1" applyAlignment="1">
      <alignment horizontal="center" vertical="center"/>
    </xf>
    <xf numFmtId="0" fontId="20" fillId="5" borderId="20" xfId="0" applyFont="1" applyFill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22" fillId="0" borderId="0" xfId="0" applyFont="1"/>
    <xf numFmtId="0" fontId="12" fillId="5" borderId="20" xfId="0" applyFont="1" applyFill="1" applyBorder="1" applyAlignment="1">
      <alignment horizontal="left" vertical="center"/>
    </xf>
    <xf numFmtId="0" fontId="12" fillId="7" borderId="20" xfId="0" applyFont="1" applyFill="1" applyBorder="1" applyAlignment="1">
      <alignment horizontal="left" vertical="center"/>
    </xf>
    <xf numFmtId="0" fontId="8" fillId="0" borderId="22" xfId="0" applyFont="1" applyBorder="1" applyAlignment="1">
      <alignment horizontal="center" vertical="center"/>
    </xf>
    <xf numFmtId="3" fontId="8" fillId="8" borderId="8" xfId="0" applyNumberFormat="1" applyFont="1" applyFill="1" applyBorder="1" applyAlignment="1">
      <alignment horizontal="left" vertical="center" wrapText="1"/>
    </xf>
    <xf numFmtId="0" fontId="4" fillId="4" borderId="34" xfId="0" applyFont="1" applyFill="1" applyBorder="1" applyAlignment="1">
      <alignment horizontal="left" vertical="center"/>
    </xf>
    <xf numFmtId="164" fontId="24" fillId="0" borderId="7" xfId="0" applyNumberFormat="1" applyFont="1" applyBorder="1" applyAlignment="1">
      <alignment horizontal="center" vertical="center"/>
    </xf>
    <xf numFmtId="164" fontId="24" fillId="5" borderId="7" xfId="0" applyNumberFormat="1" applyFont="1" applyFill="1" applyBorder="1" applyAlignment="1">
      <alignment horizontal="center" vertical="center"/>
    </xf>
    <xf numFmtId="0" fontId="5" fillId="0" borderId="38" xfId="0" applyFont="1" applyBorder="1"/>
    <xf numFmtId="164" fontId="8" fillId="5" borderId="8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10" fontId="8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5" borderId="8" xfId="0" applyFont="1" applyFill="1" applyBorder="1" applyAlignment="1">
      <alignment horizontal="left" vertical="center"/>
    </xf>
    <xf numFmtId="0" fontId="22" fillId="5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3" fontId="8" fillId="5" borderId="8" xfId="0" applyNumberFormat="1" applyFont="1" applyFill="1" applyBorder="1" applyAlignment="1">
      <alignment horizontal="left" vertical="center"/>
    </xf>
    <xf numFmtId="0" fontId="27" fillId="4" borderId="1" xfId="0" applyFont="1" applyFill="1" applyBorder="1" applyAlignment="1">
      <alignment horizontal="left" vertical="center"/>
    </xf>
    <xf numFmtId="0" fontId="27" fillId="2" borderId="1" xfId="0" applyFont="1" applyFill="1" applyBorder="1" applyAlignment="1">
      <alignment horizontal="left" vertical="center"/>
    </xf>
    <xf numFmtId="0" fontId="8" fillId="7" borderId="8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27" fillId="10" borderId="1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vertical="center"/>
    </xf>
    <xf numFmtId="0" fontId="8" fillId="5" borderId="8" xfId="0" applyFont="1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10" borderId="1" xfId="0" applyFont="1" applyFill="1" applyBorder="1" applyAlignment="1">
      <alignment vertical="center"/>
    </xf>
    <xf numFmtId="0" fontId="8" fillId="0" borderId="7" xfId="0" applyFont="1" applyBorder="1" applyAlignment="1">
      <alignment vertical="center"/>
    </xf>
    <xf numFmtId="164" fontId="8" fillId="10" borderId="7" xfId="0" applyNumberFormat="1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169" fontId="29" fillId="0" borderId="11" xfId="0" applyNumberFormat="1" applyFont="1" applyBorder="1" applyAlignment="1">
      <alignment horizontal="right" vertical="center"/>
    </xf>
    <xf numFmtId="169" fontId="30" fillId="0" borderId="14" xfId="0" applyNumberFormat="1" applyFont="1" applyBorder="1" applyAlignment="1">
      <alignment horizontal="right" vertical="center"/>
    </xf>
    <xf numFmtId="169" fontId="29" fillId="0" borderId="14" xfId="0" applyNumberFormat="1" applyFont="1" applyBorder="1" applyAlignment="1">
      <alignment horizontal="right" vertical="center"/>
    </xf>
    <xf numFmtId="169" fontId="30" fillId="0" borderId="11" xfId="0" applyNumberFormat="1" applyFont="1" applyBorder="1" applyAlignment="1">
      <alignment horizontal="center" vertical="center"/>
    </xf>
    <xf numFmtId="169" fontId="29" fillId="5" borderId="1" xfId="0" applyNumberFormat="1" applyFont="1" applyFill="1" applyBorder="1" applyAlignment="1">
      <alignment horizontal="right" vertical="center"/>
    </xf>
    <xf numFmtId="0" fontId="47" fillId="0" borderId="0" xfId="0" applyFont="1" applyAlignment="1">
      <alignment horizontal="center" vertical="center"/>
    </xf>
    <xf numFmtId="169" fontId="30" fillId="0" borderId="1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 wrapText="1"/>
    </xf>
    <xf numFmtId="0" fontId="29" fillId="5" borderId="1" xfId="0" applyFont="1" applyFill="1" applyBorder="1" applyAlignment="1">
      <alignment horizontal="right" vertical="center"/>
    </xf>
    <xf numFmtId="0" fontId="35" fillId="0" borderId="1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0" fontId="35" fillId="3" borderId="1" xfId="0" applyFont="1" applyFill="1" applyBorder="1" applyAlignment="1">
      <alignment horizontal="center" vertical="center"/>
    </xf>
    <xf numFmtId="0" fontId="35" fillId="11" borderId="1" xfId="0" applyFont="1" applyFill="1" applyBorder="1" applyAlignment="1">
      <alignment horizontal="center" vertical="center"/>
    </xf>
    <xf numFmtId="168" fontId="30" fillId="0" borderId="8" xfId="0" applyNumberFormat="1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164" fontId="30" fillId="0" borderId="7" xfId="0" applyNumberFormat="1" applyFont="1" applyBorder="1" applyAlignment="1">
      <alignment horizontal="center" vertical="center"/>
    </xf>
    <xf numFmtId="3" fontId="10" fillId="8" borderId="73" xfId="0" applyNumberFormat="1" applyFont="1" applyFill="1" applyBorder="1" applyAlignment="1">
      <alignment horizontal="center" vertical="center" wrapText="1"/>
    </xf>
    <xf numFmtId="0" fontId="5" fillId="0" borderId="74" xfId="0" applyFont="1" applyBorder="1"/>
    <xf numFmtId="0" fontId="5" fillId="0" borderId="75" xfId="0" applyFont="1" applyBorder="1"/>
    <xf numFmtId="0" fontId="12" fillId="5" borderId="20" xfId="0" applyFont="1" applyFill="1" applyBorder="1" applyAlignment="1">
      <alignment horizontal="center" vertical="center"/>
    </xf>
    <xf numFmtId="0" fontId="8" fillId="14" borderId="22" xfId="0" applyFont="1" applyFill="1" applyBorder="1" applyAlignment="1">
      <alignment horizontal="center" vertical="center"/>
    </xf>
    <xf numFmtId="0" fontId="8" fillId="8" borderId="76" xfId="0" applyFont="1" applyFill="1" applyBorder="1" applyAlignment="1">
      <alignment horizontal="center" vertical="center" wrapText="1"/>
    </xf>
    <xf numFmtId="0" fontId="5" fillId="0" borderId="77" xfId="0" applyFont="1" applyBorder="1"/>
    <xf numFmtId="0" fontId="5" fillId="0" borderId="78" xfId="0" applyFont="1" applyBorder="1"/>
    <xf numFmtId="0" fontId="5" fillId="0" borderId="79" xfId="0" applyFont="1" applyBorder="1"/>
    <xf numFmtId="0" fontId="4" fillId="7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3" fontId="8" fillId="14" borderId="22" xfId="0" applyNumberFormat="1" applyFont="1" applyFill="1" applyBorder="1" applyAlignment="1">
      <alignment horizontal="center" vertical="center"/>
    </xf>
    <xf numFmtId="0" fontId="8" fillId="8" borderId="73" xfId="0" applyFont="1" applyFill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5" fillId="0" borderId="63" xfId="0" applyFont="1" applyBorder="1"/>
    <xf numFmtId="0" fontId="4" fillId="0" borderId="69" xfId="0" applyFont="1" applyBorder="1" applyAlignment="1">
      <alignment horizontal="center" vertical="center"/>
    </xf>
    <xf numFmtId="0" fontId="5" fillId="0" borderId="70" xfId="0" applyFont="1" applyBorder="1"/>
    <xf numFmtId="164" fontId="8" fillId="0" borderId="54" xfId="0" applyNumberFormat="1" applyFont="1" applyBorder="1" applyAlignment="1">
      <alignment horizontal="center" vertical="center"/>
    </xf>
    <xf numFmtId="0" fontId="5" fillId="0" borderId="57" xfId="0" applyFont="1" applyBorder="1"/>
    <xf numFmtId="164" fontId="8" fillId="0" borderId="22" xfId="0" applyNumberFormat="1" applyFont="1" applyBorder="1" applyAlignment="1">
      <alignment horizontal="center" vertical="center"/>
    </xf>
    <xf numFmtId="164" fontId="8" fillId="0" borderId="55" xfId="0" applyNumberFormat="1" applyFont="1" applyBorder="1" applyAlignment="1">
      <alignment horizontal="center" vertical="center"/>
    </xf>
    <xf numFmtId="0" fontId="5" fillId="0" borderId="58" xfId="0" applyFont="1" applyBorder="1"/>
    <xf numFmtId="164" fontId="8" fillId="4" borderId="55" xfId="0" applyNumberFormat="1" applyFont="1" applyFill="1" applyBorder="1" applyAlignment="1">
      <alignment horizontal="center" vertical="center"/>
    </xf>
    <xf numFmtId="0" fontId="5" fillId="0" borderId="64" xfId="0" applyFont="1" applyBorder="1"/>
    <xf numFmtId="164" fontId="8" fillId="5" borderId="55" xfId="0" applyNumberFormat="1" applyFont="1" applyFill="1" applyBorder="1" applyAlignment="1">
      <alignment horizontal="center" vertical="center"/>
    </xf>
    <xf numFmtId="0" fontId="4" fillId="4" borderId="34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8" fillId="7" borderId="54" xfId="0" applyFont="1" applyFill="1" applyBorder="1" applyAlignment="1">
      <alignment horizontal="center" vertical="center"/>
    </xf>
    <xf numFmtId="164" fontId="8" fillId="0" borderId="23" xfId="0" applyNumberFormat="1" applyFont="1" applyBorder="1" applyAlignment="1">
      <alignment horizontal="center" vertical="center"/>
    </xf>
    <xf numFmtId="0" fontId="8" fillId="5" borderId="54" xfId="0" applyFont="1" applyFill="1" applyBorder="1" applyAlignment="1">
      <alignment horizontal="center" vertical="center"/>
    </xf>
    <xf numFmtId="164" fontId="8" fillId="5" borderId="22" xfId="0" applyNumberFormat="1" applyFont="1" applyFill="1" applyBorder="1" applyAlignment="1">
      <alignment horizontal="center" vertical="center"/>
    </xf>
    <xf numFmtId="164" fontId="8" fillId="5" borderId="60" xfId="0" applyNumberFormat="1" applyFont="1" applyFill="1" applyBorder="1" applyAlignment="1">
      <alignment horizontal="center" vertical="center"/>
    </xf>
    <xf numFmtId="0" fontId="5" fillId="0" borderId="61" xfId="0" applyFont="1" applyBorder="1"/>
    <xf numFmtId="0" fontId="4" fillId="7" borderId="65" xfId="0" applyFont="1" applyFill="1" applyBorder="1" applyAlignment="1">
      <alignment horizontal="center" vertical="center"/>
    </xf>
    <xf numFmtId="0" fontId="5" fillId="0" borderId="66" xfId="0" applyFont="1" applyBorder="1"/>
    <xf numFmtId="0" fontId="5" fillId="0" borderId="67" xfId="0" applyFont="1" applyBorder="1"/>
    <xf numFmtId="0" fontId="4" fillId="3" borderId="17" xfId="0" applyFont="1" applyFill="1" applyBorder="1" applyAlignment="1">
      <alignment horizontal="center" vertical="center"/>
    </xf>
    <xf numFmtId="0" fontId="5" fillId="0" borderId="71" xfId="0" applyFont="1" applyBorder="1"/>
    <xf numFmtId="0" fontId="4" fillId="3" borderId="7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164" fontId="8" fillId="5" borderId="54" xfId="0" applyNumberFormat="1" applyFont="1" applyFill="1" applyBorder="1" applyAlignment="1">
      <alignment horizontal="center" vertical="center"/>
    </xf>
    <xf numFmtId="0" fontId="12" fillId="7" borderId="20" xfId="0" applyFont="1" applyFill="1" applyBorder="1" applyAlignment="1">
      <alignment horizontal="center" vertical="center"/>
    </xf>
    <xf numFmtId="164" fontId="8" fillId="3" borderId="56" xfId="0" applyNumberFormat="1" applyFont="1" applyFill="1" applyBorder="1" applyAlignment="1">
      <alignment horizontal="center" vertical="center"/>
    </xf>
    <xf numFmtId="0" fontId="5" fillId="0" borderId="59" xfId="0" applyFont="1" applyBorder="1"/>
    <xf numFmtId="0" fontId="5" fillId="0" borderId="62" xfId="0" applyFont="1" applyBorder="1"/>
    <xf numFmtId="0" fontId="4" fillId="3" borderId="34" xfId="0" applyFont="1" applyFill="1" applyBorder="1" applyAlignment="1">
      <alignment horizontal="center" vertical="center"/>
    </xf>
    <xf numFmtId="0" fontId="11" fillId="0" borderId="77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079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B1:AA1024"/>
  <sheetViews>
    <sheetView tabSelected="1" topLeftCell="A38" zoomScale="85" zoomScaleNormal="85" workbookViewId="0">
      <selection activeCell="A33" sqref="A33:XFD33"/>
    </sheetView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73" t="s">
        <v>0</v>
      </c>
      <c r="C3" s="174"/>
      <c r="D3" s="174"/>
      <c r="E3" s="174"/>
      <c r="F3" s="174"/>
      <c r="G3" s="174"/>
      <c r="H3" s="174"/>
      <c r="I3" s="174"/>
      <c r="J3" s="175" t="s">
        <v>1</v>
      </c>
      <c r="K3" s="174"/>
      <c r="L3" s="174"/>
      <c r="M3" s="174"/>
      <c r="N3" s="174"/>
      <c r="O3" s="174"/>
      <c r="P3" s="174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76" t="s">
        <v>2</v>
      </c>
      <c r="C6" s="177"/>
      <c r="D6" s="178"/>
      <c r="E6" s="143"/>
      <c r="F6" s="3"/>
      <c r="G6" s="3"/>
      <c r="H6" s="176" t="s">
        <v>3</v>
      </c>
      <c r="I6" s="177"/>
      <c r="J6" s="179" t="s">
        <v>4</v>
      </c>
      <c r="K6" s="143"/>
      <c r="L6" s="3"/>
      <c r="M6" s="3"/>
      <c r="N6" s="3"/>
      <c r="O6" s="4" t="s">
        <v>5</v>
      </c>
      <c r="P6" s="5">
        <f ca="1">TODAY()</f>
        <v>45987</v>
      </c>
      <c r="Q6" s="180"/>
      <c r="R6" s="174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42" t="s">
        <v>6</v>
      </c>
      <c r="C8" s="145"/>
      <c r="D8" s="145"/>
      <c r="E8" s="145"/>
      <c r="F8" s="143"/>
      <c r="G8" s="6"/>
      <c r="H8" s="156" t="s">
        <v>7</v>
      </c>
      <c r="I8" s="145"/>
      <c r="J8" s="145"/>
      <c r="K8" s="145"/>
      <c r="L8" s="143"/>
      <c r="M8" s="6"/>
      <c r="N8" s="144" t="s">
        <v>8</v>
      </c>
      <c r="O8" s="145"/>
      <c r="P8" s="143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71"/>
      <c r="O9" s="143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65">
        <v>1</v>
      </c>
      <c r="C10" s="158" t="s">
        <v>18</v>
      </c>
      <c r="D10" s="159">
        <v>2325</v>
      </c>
      <c r="E10" s="160"/>
      <c r="F10" s="159">
        <f>(D10*E10)+D10</f>
        <v>2325</v>
      </c>
      <c r="G10" s="12"/>
      <c r="H10" s="159"/>
      <c r="I10" s="159"/>
      <c r="J10" s="159">
        <v>1330</v>
      </c>
      <c r="K10" s="159"/>
      <c r="L10" s="159">
        <f>SUM(H10:K10)</f>
        <v>1330</v>
      </c>
      <c r="M10" s="12"/>
      <c r="N10" s="172" t="s">
        <v>19</v>
      </c>
      <c r="O10" s="127"/>
      <c r="P10" s="166">
        <f>F20</f>
        <v>13950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47"/>
      <c r="C11" s="147"/>
      <c r="D11" s="147"/>
      <c r="E11" s="147"/>
      <c r="F11" s="147"/>
      <c r="G11" s="12"/>
      <c r="H11" s="147"/>
      <c r="I11" s="147"/>
      <c r="J11" s="147"/>
      <c r="K11" s="147"/>
      <c r="L11" s="147"/>
      <c r="M11" s="12"/>
      <c r="N11" s="128"/>
      <c r="O11" s="129"/>
      <c r="P11" s="147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167">
        <v>2</v>
      </c>
      <c r="C12" s="167" t="s">
        <v>20</v>
      </c>
      <c r="D12" s="168">
        <v>2325</v>
      </c>
      <c r="E12" s="169">
        <v>0.75</v>
      </c>
      <c r="F12" s="168">
        <f>(D12*E12)+D12</f>
        <v>4068.75</v>
      </c>
      <c r="G12" s="12"/>
      <c r="H12" s="168">
        <v>1330</v>
      </c>
      <c r="I12" s="168">
        <v>1330</v>
      </c>
      <c r="J12" s="168"/>
      <c r="K12" s="168"/>
      <c r="L12" s="168">
        <f>SUM(H12:K12)</f>
        <v>2660</v>
      </c>
      <c r="M12" s="12"/>
      <c r="N12" s="126" t="s">
        <v>21</v>
      </c>
      <c r="O12" s="127"/>
      <c r="P12" s="163">
        <f>L20</f>
        <v>8740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47"/>
      <c r="C13" s="147"/>
      <c r="D13" s="147"/>
      <c r="E13" s="147"/>
      <c r="F13" s="147"/>
      <c r="G13" s="12"/>
      <c r="H13" s="147"/>
      <c r="I13" s="147"/>
      <c r="J13" s="147"/>
      <c r="K13" s="147"/>
      <c r="L13" s="147"/>
      <c r="M13" s="12"/>
      <c r="N13" s="128"/>
      <c r="O13" s="129"/>
      <c r="P13" s="147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65">
        <v>3</v>
      </c>
      <c r="C14" s="158" t="s">
        <v>22</v>
      </c>
      <c r="D14" s="159">
        <v>2325</v>
      </c>
      <c r="E14" s="160"/>
      <c r="F14" s="159">
        <f>(D14*E14)+D14</f>
        <v>2325</v>
      </c>
      <c r="G14" s="13"/>
      <c r="H14" s="159"/>
      <c r="I14" s="159"/>
      <c r="J14" s="159">
        <v>1330</v>
      </c>
      <c r="K14" s="159"/>
      <c r="L14" s="159">
        <f>SUM(H14:K14)</f>
        <v>1330</v>
      </c>
      <c r="M14" s="13"/>
      <c r="N14" s="126" t="s">
        <v>161</v>
      </c>
      <c r="O14" s="127"/>
      <c r="P14" s="130">
        <v>760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47"/>
      <c r="C15" s="147"/>
      <c r="D15" s="147"/>
      <c r="E15" s="147"/>
      <c r="F15" s="147"/>
      <c r="G15" s="13"/>
      <c r="H15" s="147"/>
      <c r="I15" s="147"/>
      <c r="J15" s="147"/>
      <c r="K15" s="147"/>
      <c r="L15" s="147"/>
      <c r="M15" s="13"/>
      <c r="N15" s="128"/>
      <c r="O15" s="129"/>
      <c r="P15" s="13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167">
        <v>4</v>
      </c>
      <c r="C16" s="167" t="s">
        <v>23</v>
      </c>
      <c r="D16" s="168">
        <v>2325</v>
      </c>
      <c r="E16" s="169">
        <v>0.25</v>
      </c>
      <c r="F16" s="168">
        <f>(D16*E16)+D16</f>
        <v>2906.25</v>
      </c>
      <c r="G16" s="13"/>
      <c r="H16" s="168">
        <v>1330</v>
      </c>
      <c r="I16" s="151"/>
      <c r="J16" s="168"/>
      <c r="K16" s="168">
        <v>760</v>
      </c>
      <c r="L16" s="168">
        <f>SUM(H16:K16)</f>
        <v>2090</v>
      </c>
      <c r="M16" s="13"/>
      <c r="N16" s="132"/>
      <c r="O16" s="133"/>
      <c r="P16" s="136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47"/>
      <c r="C17" s="147"/>
      <c r="D17" s="147"/>
      <c r="E17" s="147"/>
      <c r="F17" s="147"/>
      <c r="G17" s="13"/>
      <c r="H17" s="147"/>
      <c r="I17" s="147"/>
      <c r="J17" s="147"/>
      <c r="K17" s="147"/>
      <c r="L17" s="147"/>
      <c r="M17" s="13"/>
      <c r="N17" s="134"/>
      <c r="O17" s="135"/>
      <c r="P17" s="137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165">
        <v>5</v>
      </c>
      <c r="C18" s="158" t="s">
        <v>24</v>
      </c>
      <c r="D18" s="159">
        <v>2325</v>
      </c>
      <c r="E18" s="160"/>
      <c r="F18" s="159">
        <f>(D18*E18)+D18</f>
        <v>2325</v>
      </c>
      <c r="G18" s="13"/>
      <c r="H18" s="159"/>
      <c r="I18" s="159"/>
      <c r="J18" s="159">
        <v>1330</v>
      </c>
      <c r="K18" s="159"/>
      <c r="L18" s="159">
        <f>SUM(H18:K18)</f>
        <v>1330</v>
      </c>
      <c r="M18" s="13"/>
      <c r="N18" s="132"/>
      <c r="O18" s="133"/>
      <c r="P18" s="136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47"/>
      <c r="C19" s="147"/>
      <c r="D19" s="147"/>
      <c r="E19" s="147"/>
      <c r="F19" s="147"/>
      <c r="G19" s="13"/>
      <c r="H19" s="147"/>
      <c r="I19" s="147"/>
      <c r="J19" s="147"/>
      <c r="K19" s="147"/>
      <c r="L19" s="147"/>
      <c r="M19" s="13"/>
      <c r="N19" s="134"/>
      <c r="O19" s="135"/>
      <c r="P19" s="137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170" t="s">
        <v>19</v>
      </c>
      <c r="C20" s="145"/>
      <c r="D20" s="145"/>
      <c r="E20" s="143"/>
      <c r="F20" s="14">
        <f>SUM(F10:F19)</f>
        <v>13950</v>
      </c>
      <c r="G20" s="13"/>
      <c r="H20" s="164" t="s">
        <v>21</v>
      </c>
      <c r="I20" s="145"/>
      <c r="J20" s="145"/>
      <c r="K20" s="143"/>
      <c r="L20" s="15">
        <f>SUM(L10:L19)</f>
        <v>8740</v>
      </c>
      <c r="M20" s="13"/>
      <c r="N20" s="164" t="s">
        <v>25</v>
      </c>
      <c r="O20" s="143"/>
      <c r="P20" s="16">
        <f>SUM(P10:P13)-P14</f>
        <v>21930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42" t="s">
        <v>26</v>
      </c>
      <c r="C22" s="143"/>
      <c r="D22" s="17" t="s">
        <v>9</v>
      </c>
      <c r="E22" s="142" t="s">
        <v>27</v>
      </c>
      <c r="F22" s="143"/>
      <c r="G22" s="6"/>
      <c r="H22" s="156" t="s">
        <v>26</v>
      </c>
      <c r="I22" s="143"/>
      <c r="J22" s="18" t="s">
        <v>9</v>
      </c>
      <c r="K22" s="156" t="s">
        <v>27</v>
      </c>
      <c r="L22" s="143"/>
      <c r="M22" s="6"/>
      <c r="N22" s="144" t="s">
        <v>28</v>
      </c>
      <c r="O22" s="145"/>
      <c r="P22" s="143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161" t="s">
        <v>29</v>
      </c>
      <c r="C23" s="127"/>
      <c r="D23" s="146">
        <f>COUNT(B10:B19)</f>
        <v>5</v>
      </c>
      <c r="E23" s="148" t="s">
        <v>30</v>
      </c>
      <c r="F23" s="127"/>
      <c r="G23" s="19"/>
      <c r="H23" s="155" t="s">
        <v>31</v>
      </c>
      <c r="I23" s="127"/>
      <c r="J23" s="151">
        <f>COUNT(H10:H19)</f>
        <v>2</v>
      </c>
      <c r="K23" s="148" t="s">
        <v>32</v>
      </c>
      <c r="L23" s="127"/>
      <c r="M23" s="19"/>
      <c r="N23" s="138" t="s">
        <v>33</v>
      </c>
      <c r="O23" s="139"/>
      <c r="P23" s="127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28"/>
      <c r="C24" s="129"/>
      <c r="D24" s="147"/>
      <c r="E24" s="149"/>
      <c r="F24" s="150"/>
      <c r="G24" s="19"/>
      <c r="H24" s="128"/>
      <c r="I24" s="129"/>
      <c r="J24" s="147"/>
      <c r="K24" s="149"/>
      <c r="L24" s="150"/>
      <c r="M24" s="19"/>
      <c r="N24" s="128"/>
      <c r="O24" s="140"/>
      <c r="P24" s="129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162" t="s">
        <v>34</v>
      </c>
      <c r="C25" s="127"/>
      <c r="D25" s="157">
        <f>COUNT(B10:B21)</f>
        <v>5</v>
      </c>
      <c r="E25" s="149"/>
      <c r="F25" s="150"/>
      <c r="G25" s="19"/>
      <c r="H25" s="153" t="s">
        <v>15</v>
      </c>
      <c r="I25" s="127"/>
      <c r="J25" s="152">
        <f>COUNT(I10:I13)</f>
        <v>1</v>
      </c>
      <c r="K25" s="149"/>
      <c r="L25" s="150"/>
      <c r="M25" s="19"/>
      <c r="N25" s="141"/>
      <c r="O25" s="139"/>
      <c r="P25" s="127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28"/>
      <c r="C26" s="129"/>
      <c r="D26" s="147"/>
      <c r="E26" s="128"/>
      <c r="F26" s="129"/>
      <c r="G26" s="19"/>
      <c r="H26" s="128"/>
      <c r="I26" s="129"/>
      <c r="J26" s="147"/>
      <c r="K26" s="128"/>
      <c r="L26" s="129"/>
      <c r="M26" s="19"/>
      <c r="N26" s="128"/>
      <c r="O26" s="140"/>
      <c r="P26" s="129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61" t="s">
        <v>35</v>
      </c>
      <c r="C27" s="127"/>
      <c r="D27" s="151">
        <v>1</v>
      </c>
      <c r="E27" s="148" t="s">
        <v>36</v>
      </c>
      <c r="F27" s="127"/>
      <c r="G27" s="20"/>
      <c r="H27" s="155" t="s">
        <v>16</v>
      </c>
      <c r="I27" s="127"/>
      <c r="J27" s="151">
        <f>COUNT(J10:J19)</f>
        <v>3</v>
      </c>
      <c r="K27" s="148" t="s">
        <v>37</v>
      </c>
      <c r="L27" s="127"/>
      <c r="M27" s="19"/>
      <c r="N27" s="138"/>
      <c r="O27" s="139"/>
      <c r="P27" s="127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31.5" customHeight="1">
      <c r="B28" s="128"/>
      <c r="C28" s="129"/>
      <c r="D28" s="147"/>
      <c r="E28" s="149"/>
      <c r="F28" s="150"/>
      <c r="G28" s="20"/>
      <c r="H28" s="128"/>
      <c r="I28" s="129"/>
      <c r="J28" s="147"/>
      <c r="K28" s="149"/>
      <c r="L28" s="150"/>
      <c r="M28" s="19"/>
      <c r="N28" s="128"/>
      <c r="O28" s="140"/>
      <c r="P28" s="129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31.5" customHeight="1">
      <c r="B29" s="162" t="s">
        <v>38</v>
      </c>
      <c r="C29" s="127"/>
      <c r="D29" s="152">
        <v>1</v>
      </c>
      <c r="E29" s="149"/>
      <c r="F29" s="150"/>
      <c r="G29" s="20"/>
      <c r="H29" s="153" t="s">
        <v>17</v>
      </c>
      <c r="I29" s="127"/>
      <c r="J29" s="154">
        <f>COUNT(K10:K19)</f>
        <v>1</v>
      </c>
      <c r="K29" s="149"/>
      <c r="L29" s="150"/>
      <c r="M29" s="19"/>
      <c r="N29" s="141"/>
      <c r="O29" s="139"/>
      <c r="P29" s="127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31.5" customHeight="1">
      <c r="B30" s="128"/>
      <c r="C30" s="129"/>
      <c r="D30" s="147"/>
      <c r="E30" s="149"/>
      <c r="F30" s="150"/>
      <c r="G30" s="20"/>
      <c r="H30" s="128"/>
      <c r="I30" s="129"/>
      <c r="J30" s="147"/>
      <c r="K30" s="149"/>
      <c r="L30" s="150"/>
      <c r="M30" s="19"/>
      <c r="N30" s="128"/>
      <c r="O30" s="140"/>
      <c r="P30" s="129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31.5" customHeight="1">
      <c r="B31" s="161" t="s">
        <v>39</v>
      </c>
      <c r="C31" s="127"/>
      <c r="D31" s="151">
        <f>COUNT(B10:B19)</f>
        <v>5</v>
      </c>
      <c r="E31" s="149"/>
      <c r="F31" s="150"/>
      <c r="G31" s="20"/>
      <c r="H31" s="155" t="s">
        <v>40</v>
      </c>
      <c r="I31" s="127"/>
      <c r="J31" s="151">
        <v>0</v>
      </c>
      <c r="K31" s="149"/>
      <c r="L31" s="150"/>
      <c r="M31" s="19"/>
      <c r="N31" s="138"/>
      <c r="O31" s="139"/>
      <c r="P31" s="127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31.5" customHeight="1">
      <c r="B32" s="128"/>
      <c r="C32" s="129"/>
      <c r="D32" s="147"/>
      <c r="E32" s="128"/>
      <c r="F32" s="129"/>
      <c r="G32" s="20"/>
      <c r="H32" s="128"/>
      <c r="I32" s="129"/>
      <c r="J32" s="147"/>
      <c r="K32" s="128"/>
      <c r="L32" s="129"/>
      <c r="M32" s="19"/>
      <c r="N32" s="128"/>
      <c r="O32" s="140"/>
      <c r="P32" s="129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125"/>
      <c r="C33" s="125"/>
      <c r="D33" s="125"/>
      <c r="E33" s="125"/>
      <c r="F33" s="125"/>
      <c r="G33" s="329"/>
      <c r="H33" s="125"/>
      <c r="I33" s="125"/>
      <c r="J33" s="125"/>
      <c r="K33" s="125"/>
      <c r="L33" s="125"/>
      <c r="M33" s="19"/>
      <c r="N33" s="125"/>
      <c r="O33" s="125"/>
      <c r="P33" s="125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31.5" customHeight="1">
      <c r="B34" s="125"/>
      <c r="C34" s="125"/>
      <c r="D34" s="125"/>
      <c r="E34" s="125"/>
      <c r="F34" s="125"/>
      <c r="G34" s="329"/>
      <c r="H34" s="125"/>
      <c r="I34" s="125"/>
      <c r="J34" s="125"/>
      <c r="K34" s="125"/>
      <c r="L34" s="125"/>
      <c r="M34" s="19"/>
      <c r="N34" s="125"/>
      <c r="O34" s="125"/>
      <c r="P34" s="125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31.5" customHeight="1">
      <c r="B35" s="125"/>
      <c r="C35" s="125"/>
      <c r="D35" s="125"/>
      <c r="E35" s="125"/>
      <c r="F35" s="125"/>
      <c r="G35" s="329"/>
      <c r="H35" s="125"/>
      <c r="I35" s="125"/>
      <c r="J35" s="125"/>
      <c r="K35" s="125"/>
      <c r="L35" s="125"/>
      <c r="M35" s="19"/>
      <c r="N35" s="125"/>
      <c r="O35" s="125"/>
      <c r="P35" s="125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31.5" customHeight="1">
      <c r="B36" s="125"/>
      <c r="C36" s="125"/>
      <c r="D36" s="125"/>
      <c r="E36" s="125"/>
      <c r="F36" s="125"/>
      <c r="G36" s="329"/>
      <c r="H36" s="125"/>
      <c r="I36" s="125"/>
      <c r="J36" s="125"/>
      <c r="K36" s="125"/>
      <c r="L36" s="125"/>
      <c r="M36" s="19"/>
      <c r="N36" s="125"/>
      <c r="O36" s="125"/>
      <c r="P36" s="125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31.5" customHeight="1">
      <c r="B37" s="125"/>
      <c r="C37" s="125"/>
      <c r="D37" s="125"/>
      <c r="E37" s="125"/>
      <c r="F37" s="125"/>
      <c r="G37" s="329"/>
      <c r="H37" s="125"/>
      <c r="I37" s="125"/>
      <c r="J37" s="125"/>
      <c r="K37" s="125"/>
      <c r="L37" s="125"/>
      <c r="M37" s="19"/>
      <c r="N37" s="125"/>
      <c r="O37" s="125"/>
      <c r="P37" s="125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31.5" customHeight="1">
      <c r="B38" s="125"/>
      <c r="C38" s="125"/>
      <c r="D38" s="125"/>
      <c r="E38" s="125"/>
      <c r="F38" s="125"/>
      <c r="G38" s="329"/>
      <c r="H38" s="125"/>
      <c r="I38" s="125"/>
      <c r="J38" s="125"/>
      <c r="K38" s="125"/>
      <c r="L38" s="125"/>
      <c r="M38" s="19"/>
      <c r="N38" s="125"/>
      <c r="O38" s="125"/>
      <c r="P38" s="125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31.5" customHeight="1">
      <c r="B39" s="125"/>
      <c r="C39" s="125"/>
      <c r="D39" s="125"/>
      <c r="E39" s="125"/>
      <c r="F39" s="125"/>
      <c r="G39" s="329"/>
      <c r="H39" s="125"/>
      <c r="I39" s="125"/>
      <c r="J39" s="125"/>
      <c r="K39" s="125"/>
      <c r="L39" s="125"/>
      <c r="M39" s="19"/>
      <c r="N39" s="125"/>
      <c r="O39" s="125"/>
      <c r="P39" s="125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31.5" customHeight="1">
      <c r="B40" s="125"/>
      <c r="C40" s="125"/>
      <c r="D40" s="125"/>
      <c r="E40" s="125"/>
      <c r="F40" s="125"/>
      <c r="G40" s="329"/>
      <c r="H40" s="125"/>
      <c r="I40" s="125"/>
      <c r="J40" s="125"/>
      <c r="K40" s="125"/>
      <c r="L40" s="125"/>
      <c r="M40" s="19"/>
      <c r="N40" s="125"/>
      <c r="O40" s="125"/>
      <c r="P40" s="125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31.5" customHeight="1">
      <c r="B41" s="125"/>
      <c r="C41" s="125"/>
      <c r="D41" s="125"/>
      <c r="E41" s="125"/>
      <c r="F41" s="125"/>
      <c r="G41" s="329"/>
      <c r="H41" s="125"/>
      <c r="I41" s="125"/>
      <c r="J41" s="125"/>
      <c r="K41" s="125"/>
      <c r="L41" s="125"/>
      <c r="M41" s="19"/>
      <c r="N41" s="125"/>
      <c r="O41" s="125"/>
      <c r="P41" s="125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31.5" customHeight="1">
      <c r="B42" s="125"/>
      <c r="C42" s="125"/>
      <c r="D42" s="125"/>
      <c r="E42" s="125"/>
      <c r="F42" s="125"/>
      <c r="G42" s="329"/>
      <c r="H42" s="125"/>
      <c r="I42" s="125"/>
      <c r="J42" s="125"/>
      <c r="K42" s="125"/>
      <c r="L42" s="125"/>
      <c r="M42" s="19"/>
      <c r="N42" s="125"/>
      <c r="O42" s="125"/>
      <c r="P42" s="125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31.5" customHeight="1">
      <c r="B43" s="125"/>
      <c r="C43" s="125"/>
      <c r="D43" s="125"/>
      <c r="E43" s="125"/>
      <c r="F43" s="125"/>
      <c r="G43" s="329"/>
      <c r="H43" s="125"/>
      <c r="I43" s="125"/>
      <c r="J43" s="125"/>
      <c r="K43" s="125"/>
      <c r="L43" s="125"/>
      <c r="M43" s="19"/>
      <c r="N43" s="125"/>
      <c r="O43" s="125"/>
      <c r="P43" s="125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31.5" customHeight="1">
      <c r="B44" s="125"/>
      <c r="C44" s="125"/>
      <c r="D44" s="125"/>
      <c r="E44" s="125"/>
      <c r="F44" s="125"/>
      <c r="G44" s="329"/>
      <c r="H44" s="125"/>
      <c r="I44" s="125"/>
      <c r="J44" s="125"/>
      <c r="K44" s="125"/>
      <c r="L44" s="125"/>
      <c r="M44" s="19"/>
      <c r="N44" s="125"/>
      <c r="O44" s="125"/>
      <c r="P44" s="125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31.5" customHeight="1">
      <c r="B45" s="125"/>
      <c r="C45" s="125"/>
      <c r="D45" s="125"/>
      <c r="E45" s="125"/>
      <c r="F45" s="125"/>
      <c r="G45" s="329"/>
      <c r="H45" s="125"/>
      <c r="I45" s="125"/>
      <c r="J45" s="125"/>
      <c r="K45" s="125"/>
      <c r="L45" s="125"/>
      <c r="M45" s="19"/>
      <c r="N45" s="125"/>
      <c r="O45" s="125"/>
      <c r="P45" s="125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31.5" customHeight="1">
      <c r="B46" s="125"/>
      <c r="C46" s="125"/>
      <c r="D46" s="125"/>
      <c r="E46" s="125"/>
      <c r="F46" s="125"/>
      <c r="G46" s="329"/>
      <c r="H46" s="125"/>
      <c r="I46" s="125"/>
      <c r="J46" s="125"/>
      <c r="K46" s="125"/>
      <c r="L46" s="125"/>
      <c r="M46" s="19"/>
      <c r="N46" s="125"/>
      <c r="O46" s="125"/>
      <c r="P46" s="125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31.5" customHeight="1">
      <c r="B47" s="125"/>
      <c r="C47" s="125"/>
      <c r="D47" s="125"/>
      <c r="E47" s="125"/>
      <c r="F47" s="125"/>
      <c r="G47" s="329"/>
      <c r="H47" s="125"/>
      <c r="I47" s="125"/>
      <c r="J47" s="125"/>
      <c r="K47" s="125"/>
      <c r="L47" s="125"/>
      <c r="M47" s="19"/>
      <c r="N47" s="125"/>
      <c r="O47" s="125"/>
      <c r="P47" s="125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31.5" customHeight="1">
      <c r="B48" s="125"/>
      <c r="C48" s="125"/>
      <c r="D48" s="125"/>
      <c r="E48" s="125"/>
      <c r="F48" s="125"/>
      <c r="G48" s="329"/>
      <c r="H48" s="125"/>
      <c r="I48" s="125"/>
      <c r="J48" s="125"/>
      <c r="K48" s="125"/>
      <c r="L48" s="125"/>
      <c r="M48" s="19"/>
      <c r="N48" s="125"/>
      <c r="O48" s="125"/>
      <c r="P48" s="125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31.5" customHeight="1">
      <c r="B49" s="125"/>
      <c r="C49" s="125"/>
      <c r="D49" s="125"/>
      <c r="E49" s="125"/>
      <c r="F49" s="125"/>
      <c r="G49" s="329"/>
      <c r="H49" s="125"/>
      <c r="I49" s="125"/>
      <c r="J49" s="125"/>
      <c r="K49" s="125"/>
      <c r="L49" s="125"/>
      <c r="M49" s="19"/>
      <c r="N49" s="125"/>
      <c r="O49" s="125"/>
      <c r="P49" s="125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31.5" customHeight="1">
      <c r="B50" s="125"/>
      <c r="C50" s="125"/>
      <c r="D50" s="125"/>
      <c r="E50" s="125"/>
      <c r="F50" s="125"/>
      <c r="G50" s="329"/>
      <c r="H50" s="125"/>
      <c r="I50" s="125"/>
      <c r="J50" s="125"/>
      <c r="K50" s="125"/>
      <c r="L50" s="125"/>
      <c r="M50" s="19"/>
      <c r="N50" s="125"/>
      <c r="O50" s="125"/>
      <c r="P50" s="125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31.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6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2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15.75" customHeight="1"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2:27" ht="15.75" customHeight="1"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2:27" ht="15.75" customHeight="1"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2:27" ht="15.75" customHeight="1"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2:27" ht="15.75" customHeight="1"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2:27" ht="15.75" customHeight="1"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2:27" ht="15.75" customHeight="1"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2:27" ht="15.75" customHeight="1"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2:27" ht="15.75" customHeight="1"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2:27" ht="15.75" customHeight="1"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2:27" ht="15.75" customHeight="1"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2:27" ht="15.75" customHeight="1"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2:27" ht="15.75" customHeight="1"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2:27" ht="15.75" customHeight="1"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2:27" ht="15.75" customHeight="1"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2:27" ht="15.75" customHeight="1"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2:27" ht="15.75" customHeight="1"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2:27" ht="15.75" customHeight="1"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2:27" ht="15.75" customHeight="1"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2:27" ht="15.75" customHeight="1"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2:27" ht="15.75" customHeight="1"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2:27" ht="15.75" customHeight="1"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2:27" ht="15.75" customHeight="1"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2:27" ht="15.75" customHeight="1"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2:27" ht="15.75" customHeight="1">
      <c r="D250" s="22"/>
    </row>
    <row r="251" spans="2:27" ht="15.75" customHeight="1">
      <c r="D251" s="22"/>
    </row>
    <row r="252" spans="2:27" ht="15.75" customHeight="1">
      <c r="D252" s="22"/>
    </row>
    <row r="253" spans="2:27" ht="15.75" customHeight="1">
      <c r="D253" s="22"/>
    </row>
    <row r="254" spans="2:27" ht="15.75" customHeight="1">
      <c r="D254" s="22"/>
    </row>
    <row r="255" spans="2:27" ht="15.75" customHeight="1">
      <c r="D255" s="22"/>
    </row>
    <row r="256" spans="2:27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  <row r="1001" spans="4:4" ht="15.75" customHeight="1">
      <c r="D1001" s="22"/>
    </row>
    <row r="1002" spans="4:4" ht="15.75" customHeight="1">
      <c r="D1002" s="22"/>
    </row>
    <row r="1003" spans="4:4" ht="15.75" customHeight="1">
      <c r="D1003" s="22"/>
    </row>
    <row r="1004" spans="4:4" ht="15.75" customHeight="1">
      <c r="D1004" s="22"/>
    </row>
    <row r="1005" spans="4:4" ht="15.75" customHeight="1">
      <c r="D1005" s="22"/>
    </row>
    <row r="1006" spans="4:4" ht="15.75" customHeight="1">
      <c r="D1006" s="22"/>
    </row>
    <row r="1007" spans="4:4" ht="15.75" customHeight="1">
      <c r="D1007" s="22"/>
    </row>
    <row r="1008" spans="4:4" ht="15.75" customHeight="1">
      <c r="D1008" s="22"/>
    </row>
    <row r="1009" spans="4:4" ht="15.75" customHeight="1">
      <c r="D1009" s="22"/>
    </row>
    <row r="1010" spans="4:4" ht="15.75" customHeight="1">
      <c r="D1010" s="22"/>
    </row>
    <row r="1011" spans="4:4" ht="15.75" customHeight="1">
      <c r="D1011" s="22"/>
    </row>
    <row r="1012" spans="4:4" ht="15.75" customHeight="1">
      <c r="D1012" s="22"/>
    </row>
    <row r="1013" spans="4:4" ht="15.75" customHeight="1">
      <c r="D1013" s="22"/>
    </row>
    <row r="1014" spans="4:4" ht="15.75" customHeight="1">
      <c r="D1014" s="22"/>
    </row>
    <row r="1015" spans="4:4" ht="15.75" customHeight="1">
      <c r="D1015" s="22"/>
    </row>
    <row r="1016" spans="4:4" ht="15.75" customHeight="1">
      <c r="D1016" s="22"/>
    </row>
    <row r="1017" spans="4:4" ht="15.75" customHeight="1">
      <c r="D1017" s="22"/>
    </row>
    <row r="1018" spans="4:4" ht="15.75" customHeight="1">
      <c r="D1018" s="22"/>
    </row>
    <row r="1019" spans="4:4" ht="15.75" customHeight="1">
      <c r="D1019" s="22"/>
    </row>
    <row r="1020" spans="4:4" ht="15.75" customHeight="1">
      <c r="D1020" s="22"/>
    </row>
    <row r="1021" spans="4:4" ht="15.75" customHeight="1">
      <c r="D1021" s="22"/>
    </row>
    <row r="1022" spans="4:4" ht="15.75" customHeight="1">
      <c r="D1022" s="22"/>
    </row>
    <row r="1023" spans="4:4" ht="15.75" customHeight="1">
      <c r="D1023" s="22"/>
    </row>
    <row r="1024" spans="4:4" ht="15.75" customHeight="1">
      <c r="D1024" s="22"/>
    </row>
  </sheetData>
  <mergeCells count="108">
    <mergeCell ref="J14:J15"/>
    <mergeCell ref="K14:K15"/>
    <mergeCell ref="L14:L15"/>
    <mergeCell ref="B14:B15"/>
    <mergeCell ref="C14:C15"/>
    <mergeCell ref="D14:D15"/>
    <mergeCell ref="E14:E15"/>
    <mergeCell ref="F14:F15"/>
    <mergeCell ref="H14:H15"/>
    <mergeCell ref="I14:I15"/>
    <mergeCell ref="J16:J17"/>
    <mergeCell ref="K16:K17"/>
    <mergeCell ref="L16:L17"/>
    <mergeCell ref="B16:B17"/>
    <mergeCell ref="C16:C17"/>
    <mergeCell ref="D16:D17"/>
    <mergeCell ref="E16:E17"/>
    <mergeCell ref="F16:F17"/>
    <mergeCell ref="H16:H17"/>
    <mergeCell ref="I16:I17"/>
    <mergeCell ref="B3:I3"/>
    <mergeCell ref="J3:P3"/>
    <mergeCell ref="B6:C6"/>
    <mergeCell ref="D6:E6"/>
    <mergeCell ref="H6:I6"/>
    <mergeCell ref="J6:K6"/>
    <mergeCell ref="Q6:R6"/>
    <mergeCell ref="H10:H11"/>
    <mergeCell ref="I10:I11"/>
    <mergeCell ref="I12:I13"/>
    <mergeCell ref="J10:J11"/>
    <mergeCell ref="K10:K11"/>
    <mergeCell ref="J12:J13"/>
    <mergeCell ref="K12:K13"/>
    <mergeCell ref="L12:L13"/>
    <mergeCell ref="N9:O9"/>
    <mergeCell ref="N10:O11"/>
    <mergeCell ref="N12:O13"/>
    <mergeCell ref="P12:P13"/>
    <mergeCell ref="N20:O20"/>
    <mergeCell ref="B8:F8"/>
    <mergeCell ref="H8:L8"/>
    <mergeCell ref="N8:P8"/>
    <mergeCell ref="B10:B11"/>
    <mergeCell ref="C10:C11"/>
    <mergeCell ref="D10:D11"/>
    <mergeCell ref="L10:L11"/>
    <mergeCell ref="P10:P11"/>
    <mergeCell ref="E10:E11"/>
    <mergeCell ref="F10:F11"/>
    <mergeCell ref="B12:B13"/>
    <mergeCell ref="C12:C13"/>
    <mergeCell ref="D12:D13"/>
    <mergeCell ref="E12:E13"/>
    <mergeCell ref="F12:F13"/>
    <mergeCell ref="B20:E20"/>
    <mergeCell ref="H20:K20"/>
    <mergeCell ref="J18:J19"/>
    <mergeCell ref="K18:K19"/>
    <mergeCell ref="L18:L19"/>
    <mergeCell ref="B18:B19"/>
    <mergeCell ref="H12:H13"/>
    <mergeCell ref="C18:C19"/>
    <mergeCell ref="D18:D19"/>
    <mergeCell ref="E18:E19"/>
    <mergeCell ref="F18:F19"/>
    <mergeCell ref="H18:H19"/>
    <mergeCell ref="I18:I19"/>
    <mergeCell ref="H22:I22"/>
    <mergeCell ref="H23:I24"/>
    <mergeCell ref="H27:I28"/>
    <mergeCell ref="B23:C24"/>
    <mergeCell ref="B25:C26"/>
    <mergeCell ref="B27:C28"/>
    <mergeCell ref="D27:D28"/>
    <mergeCell ref="E27:F32"/>
    <mergeCell ref="B29:C30"/>
    <mergeCell ref="D29:D30"/>
    <mergeCell ref="N29:P30"/>
    <mergeCell ref="N31:P32"/>
    <mergeCell ref="B22:C22"/>
    <mergeCell ref="E22:F22"/>
    <mergeCell ref="N22:P22"/>
    <mergeCell ref="D23:D24"/>
    <mergeCell ref="E23:F26"/>
    <mergeCell ref="J23:J24"/>
    <mergeCell ref="J25:J26"/>
    <mergeCell ref="J27:J28"/>
    <mergeCell ref="H29:I30"/>
    <mergeCell ref="J29:J30"/>
    <mergeCell ref="H31:I32"/>
    <mergeCell ref="J31:J32"/>
    <mergeCell ref="K22:L22"/>
    <mergeCell ref="K23:L26"/>
    <mergeCell ref="K27:L32"/>
    <mergeCell ref="D25:D26"/>
    <mergeCell ref="H25:I26"/>
    <mergeCell ref="B31:C32"/>
    <mergeCell ref="D31:D32"/>
    <mergeCell ref="N14:O15"/>
    <mergeCell ref="P14:P15"/>
    <mergeCell ref="N16:O17"/>
    <mergeCell ref="P16:P17"/>
    <mergeCell ref="N18:O19"/>
    <mergeCell ref="P18:P19"/>
    <mergeCell ref="N23:P24"/>
    <mergeCell ref="N25:P26"/>
    <mergeCell ref="N27:P28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B1:AA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73" t="s">
        <v>0</v>
      </c>
      <c r="C3" s="174"/>
      <c r="D3" s="174"/>
      <c r="E3" s="174"/>
      <c r="F3" s="174"/>
      <c r="G3" s="174"/>
      <c r="H3" s="174"/>
      <c r="I3" s="174"/>
      <c r="J3" s="175" t="s">
        <v>41</v>
      </c>
      <c r="K3" s="174"/>
      <c r="L3" s="174"/>
      <c r="M3" s="174"/>
      <c r="N3" s="174"/>
      <c r="O3" s="174"/>
      <c r="P3" s="174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76" t="s">
        <v>2</v>
      </c>
      <c r="C6" s="177"/>
      <c r="D6" s="178"/>
      <c r="E6" s="143"/>
      <c r="F6" s="3"/>
      <c r="G6" s="3"/>
      <c r="H6" s="176" t="s">
        <v>3</v>
      </c>
      <c r="I6" s="177"/>
      <c r="J6" s="179" t="s">
        <v>42</v>
      </c>
      <c r="K6" s="143"/>
      <c r="L6" s="3"/>
      <c r="M6" s="3"/>
      <c r="N6" s="3"/>
      <c r="O6" s="4" t="s">
        <v>5</v>
      </c>
      <c r="P6" s="5">
        <f ca="1">TODAY()</f>
        <v>45987</v>
      </c>
      <c r="Q6" s="180"/>
      <c r="R6" s="174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42" t="s">
        <v>6</v>
      </c>
      <c r="C8" s="145"/>
      <c r="D8" s="145"/>
      <c r="E8" s="145"/>
      <c r="F8" s="143"/>
      <c r="G8" s="6"/>
      <c r="H8" s="156" t="s">
        <v>7</v>
      </c>
      <c r="I8" s="145"/>
      <c r="J8" s="145"/>
      <c r="K8" s="145"/>
      <c r="L8" s="143"/>
      <c r="M8" s="6"/>
      <c r="N8" s="144" t="s">
        <v>8</v>
      </c>
      <c r="O8" s="145"/>
      <c r="P8" s="143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71"/>
      <c r="O9" s="143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65">
        <v>1</v>
      </c>
      <c r="C10" s="158" t="s">
        <v>43</v>
      </c>
      <c r="D10" s="159">
        <v>3560</v>
      </c>
      <c r="E10" s="160"/>
      <c r="F10" s="159">
        <f>(D10*E10)+D10</f>
        <v>3560</v>
      </c>
      <c r="G10" s="12"/>
      <c r="H10" s="159">
        <v>1330</v>
      </c>
      <c r="I10" s="159">
        <v>1330</v>
      </c>
      <c r="J10" s="159">
        <v>1330</v>
      </c>
      <c r="K10" s="159">
        <v>760</v>
      </c>
      <c r="L10" s="159">
        <f>SUM(H10:K10)</f>
        <v>4750</v>
      </c>
      <c r="M10" s="12"/>
      <c r="N10" s="172" t="s">
        <v>19</v>
      </c>
      <c r="O10" s="127"/>
      <c r="P10" s="166">
        <f>F14</f>
        <v>7120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47"/>
      <c r="C11" s="147"/>
      <c r="D11" s="147"/>
      <c r="E11" s="147"/>
      <c r="F11" s="147"/>
      <c r="G11" s="12"/>
      <c r="H11" s="147"/>
      <c r="I11" s="147"/>
      <c r="J11" s="147"/>
      <c r="K11" s="147"/>
      <c r="L11" s="147"/>
      <c r="M11" s="12"/>
      <c r="N11" s="128"/>
      <c r="O11" s="129"/>
      <c r="P11" s="147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167">
        <v>2</v>
      </c>
      <c r="C12" s="167" t="s">
        <v>44</v>
      </c>
      <c r="D12" s="168">
        <v>3560</v>
      </c>
      <c r="E12" s="169"/>
      <c r="F12" s="159">
        <f>(D12*E12)+D12</f>
        <v>3560</v>
      </c>
      <c r="G12" s="12"/>
      <c r="H12" s="168"/>
      <c r="I12" s="168">
        <v>1330</v>
      </c>
      <c r="J12" s="168"/>
      <c r="K12" s="168"/>
      <c r="L12" s="159">
        <f>SUM(H12:K12)</f>
        <v>1330</v>
      </c>
      <c r="M12" s="12"/>
      <c r="N12" s="126" t="s">
        <v>21</v>
      </c>
      <c r="O12" s="127"/>
      <c r="P12" s="163">
        <f>L14</f>
        <v>6080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47"/>
      <c r="C13" s="147"/>
      <c r="D13" s="147"/>
      <c r="E13" s="147"/>
      <c r="F13" s="147"/>
      <c r="G13" s="12"/>
      <c r="H13" s="147"/>
      <c r="I13" s="147"/>
      <c r="J13" s="147"/>
      <c r="K13" s="147"/>
      <c r="L13" s="147"/>
      <c r="M13" s="12"/>
      <c r="N13" s="128"/>
      <c r="O13" s="129"/>
      <c r="P13" s="147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70" t="s">
        <v>19</v>
      </c>
      <c r="C14" s="145"/>
      <c r="D14" s="145"/>
      <c r="E14" s="143"/>
      <c r="F14" s="14">
        <f>SUM(F10:F13)</f>
        <v>7120</v>
      </c>
      <c r="G14" s="13"/>
      <c r="H14" s="164" t="s">
        <v>21</v>
      </c>
      <c r="I14" s="145"/>
      <c r="J14" s="145"/>
      <c r="K14" s="143"/>
      <c r="L14" s="15">
        <f>SUM(L10:L13)</f>
        <v>6080</v>
      </c>
      <c r="M14" s="13"/>
      <c r="N14" s="164" t="s">
        <v>25</v>
      </c>
      <c r="O14" s="143"/>
      <c r="P14" s="16">
        <f>SUM(P10:P13)</f>
        <v>13200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"/>
      <c r="C15" s="1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188" t="s">
        <v>26</v>
      </c>
      <c r="C16" s="189"/>
      <c r="D16" s="23" t="s">
        <v>9</v>
      </c>
      <c r="E16" s="188" t="s">
        <v>27</v>
      </c>
      <c r="F16" s="189"/>
      <c r="G16" s="6"/>
      <c r="H16" s="156" t="s">
        <v>26</v>
      </c>
      <c r="I16" s="143"/>
      <c r="J16" s="24" t="s">
        <v>9</v>
      </c>
      <c r="K16" s="156" t="s">
        <v>27</v>
      </c>
      <c r="L16" s="143"/>
      <c r="M16" s="6"/>
      <c r="N16" s="144" t="s">
        <v>28</v>
      </c>
      <c r="O16" s="145"/>
      <c r="P16" s="143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85" t="s">
        <v>29</v>
      </c>
      <c r="C17" s="182"/>
      <c r="D17" s="190">
        <f>COUNT(B10:B13)</f>
        <v>2</v>
      </c>
      <c r="E17" s="192" t="s">
        <v>30</v>
      </c>
      <c r="F17" s="187"/>
      <c r="G17" s="19"/>
      <c r="H17" s="155" t="s">
        <v>31</v>
      </c>
      <c r="I17" s="127"/>
      <c r="J17" s="167">
        <f>COUNT(H10:H13)</f>
        <v>1</v>
      </c>
      <c r="K17" s="148" t="s">
        <v>32</v>
      </c>
      <c r="L17" s="127"/>
      <c r="M17" s="19"/>
      <c r="N17" s="138" t="s">
        <v>45</v>
      </c>
      <c r="O17" s="139"/>
      <c r="P17" s="127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183"/>
      <c r="C18" s="184"/>
      <c r="D18" s="191"/>
      <c r="E18" s="193"/>
      <c r="F18" s="150"/>
      <c r="G18" s="19"/>
      <c r="H18" s="128"/>
      <c r="I18" s="129"/>
      <c r="J18" s="147"/>
      <c r="K18" s="149"/>
      <c r="L18" s="150"/>
      <c r="M18" s="19"/>
      <c r="N18" s="128"/>
      <c r="O18" s="140"/>
      <c r="P18" s="129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81" t="s">
        <v>34</v>
      </c>
      <c r="C19" s="182"/>
      <c r="D19" s="196">
        <f>COUNT(B10:B15)*2</f>
        <v>4</v>
      </c>
      <c r="E19" s="193"/>
      <c r="F19" s="150"/>
      <c r="G19" s="19"/>
      <c r="H19" s="153" t="s">
        <v>15</v>
      </c>
      <c r="I19" s="127"/>
      <c r="J19" s="165">
        <f>COUNT(I10:I13)</f>
        <v>2</v>
      </c>
      <c r="K19" s="149"/>
      <c r="L19" s="150"/>
      <c r="M19" s="19"/>
      <c r="N19" s="141"/>
      <c r="O19" s="139"/>
      <c r="P19" s="127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183"/>
      <c r="C20" s="184"/>
      <c r="D20" s="191"/>
      <c r="E20" s="194"/>
      <c r="F20" s="195"/>
      <c r="G20" s="19"/>
      <c r="H20" s="128"/>
      <c r="I20" s="129"/>
      <c r="J20" s="147"/>
      <c r="K20" s="128"/>
      <c r="L20" s="129"/>
      <c r="M20" s="19"/>
      <c r="N20" s="128"/>
      <c r="O20" s="140"/>
      <c r="P20" s="129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85" t="s">
        <v>35</v>
      </c>
      <c r="C21" s="182"/>
      <c r="D21" s="199">
        <v>2</v>
      </c>
      <c r="E21" s="186" t="s">
        <v>36</v>
      </c>
      <c r="F21" s="187"/>
      <c r="G21" s="20"/>
      <c r="H21" s="155" t="s">
        <v>16</v>
      </c>
      <c r="I21" s="127"/>
      <c r="J21" s="167">
        <f>COUNT(J10:J13)</f>
        <v>1</v>
      </c>
      <c r="K21" s="148" t="s">
        <v>37</v>
      </c>
      <c r="L21" s="127"/>
      <c r="M21" s="19"/>
      <c r="N21" s="138"/>
      <c r="O21" s="139"/>
      <c r="P21" s="127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83"/>
      <c r="C22" s="184"/>
      <c r="D22" s="191"/>
      <c r="E22" s="174"/>
      <c r="F22" s="150"/>
      <c r="G22" s="20"/>
      <c r="H22" s="128"/>
      <c r="I22" s="129"/>
      <c r="J22" s="147"/>
      <c r="K22" s="149"/>
      <c r="L22" s="150"/>
      <c r="M22" s="19"/>
      <c r="N22" s="128"/>
      <c r="O22" s="140"/>
      <c r="P22" s="129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181" t="s">
        <v>38</v>
      </c>
      <c r="C23" s="182"/>
      <c r="D23" s="197">
        <v>2</v>
      </c>
      <c r="E23" s="174"/>
      <c r="F23" s="150"/>
      <c r="G23" s="20"/>
      <c r="H23" s="153" t="s">
        <v>17</v>
      </c>
      <c r="I23" s="127"/>
      <c r="J23" s="158">
        <f>COUNT(K10:K13)</f>
        <v>1</v>
      </c>
      <c r="K23" s="149"/>
      <c r="L23" s="150"/>
      <c r="M23" s="19"/>
      <c r="N23" s="141"/>
      <c r="O23" s="139"/>
      <c r="P23" s="127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83"/>
      <c r="C24" s="184"/>
      <c r="D24" s="191"/>
      <c r="E24" s="174"/>
      <c r="F24" s="150"/>
      <c r="G24" s="20"/>
      <c r="H24" s="128"/>
      <c r="I24" s="129"/>
      <c r="J24" s="147"/>
      <c r="K24" s="149"/>
      <c r="L24" s="150"/>
      <c r="M24" s="19"/>
      <c r="N24" s="128"/>
      <c r="O24" s="140"/>
      <c r="P24" s="129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185" t="s">
        <v>39</v>
      </c>
      <c r="C25" s="182"/>
      <c r="D25" s="199">
        <f>COUNT(B10:B13)</f>
        <v>2</v>
      </c>
      <c r="E25" s="174"/>
      <c r="F25" s="150"/>
      <c r="G25" s="20"/>
      <c r="H25" s="155" t="s">
        <v>40</v>
      </c>
      <c r="I25" s="127"/>
      <c r="J25" s="167">
        <v>0</v>
      </c>
      <c r="K25" s="149"/>
      <c r="L25" s="150"/>
      <c r="M25" s="19"/>
      <c r="N25" s="138"/>
      <c r="O25" s="139"/>
      <c r="P25" s="127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28"/>
      <c r="C26" s="198"/>
      <c r="D26" s="200"/>
      <c r="E26" s="140"/>
      <c r="F26" s="129"/>
      <c r="G26" s="20"/>
      <c r="H26" s="128"/>
      <c r="I26" s="129"/>
      <c r="J26" s="147"/>
      <c r="K26" s="128"/>
      <c r="L26" s="129"/>
      <c r="M26" s="19"/>
      <c r="N26" s="128"/>
      <c r="O26" s="140"/>
      <c r="P26" s="129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15.75" customHeight="1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15.75" customHeight="1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2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15.75" customHeight="1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15.75" customHeight="1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15.75" customHeight="1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15.7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15.75" customHeight="1">
      <c r="D226" s="22"/>
    </row>
    <row r="227" spans="2:27" ht="15.75" customHeight="1">
      <c r="D227" s="22"/>
    </row>
    <row r="228" spans="2:27" ht="15.75" customHeight="1">
      <c r="D228" s="22"/>
    </row>
    <row r="229" spans="2:27" ht="15.75" customHeight="1">
      <c r="D229" s="22"/>
    </row>
    <row r="230" spans="2:27" ht="15.75" customHeight="1">
      <c r="D230" s="22"/>
    </row>
    <row r="231" spans="2:27" ht="15.75" customHeight="1">
      <c r="D231" s="22"/>
    </row>
    <row r="232" spans="2:27" ht="15.75" customHeight="1">
      <c r="D232" s="22"/>
    </row>
    <row r="233" spans="2:27" ht="15.75" customHeight="1">
      <c r="D233" s="22"/>
    </row>
    <row r="234" spans="2:27" ht="15.75" customHeight="1">
      <c r="D234" s="22"/>
    </row>
    <row r="235" spans="2:27" ht="15.75" customHeight="1">
      <c r="D235" s="22"/>
    </row>
    <row r="236" spans="2:27" ht="15.75" customHeight="1">
      <c r="D236" s="22"/>
    </row>
    <row r="237" spans="2:27" ht="15.75" customHeight="1">
      <c r="D237" s="22"/>
    </row>
    <row r="238" spans="2:27" ht="15.75" customHeight="1">
      <c r="D238" s="22"/>
    </row>
    <row r="239" spans="2:27" ht="15.75" customHeight="1">
      <c r="D239" s="22"/>
    </row>
    <row r="240" spans="2:27" ht="15.75" customHeight="1">
      <c r="D240" s="22"/>
    </row>
    <row r="241" spans="4:4" ht="15.75" customHeight="1">
      <c r="D241" s="22"/>
    </row>
    <row r="242" spans="4:4" ht="15.75" customHeight="1">
      <c r="D242" s="22"/>
    </row>
    <row r="243" spans="4:4" ht="15.75" customHeight="1">
      <c r="D243" s="22"/>
    </row>
    <row r="244" spans="4:4" ht="15.75" customHeight="1">
      <c r="D244" s="22"/>
    </row>
    <row r="245" spans="4:4" ht="15.75" customHeight="1">
      <c r="D245" s="22"/>
    </row>
    <row r="246" spans="4:4" ht="15.75" customHeight="1">
      <c r="D246" s="22"/>
    </row>
    <row r="247" spans="4:4" ht="15.75" customHeight="1">
      <c r="D247" s="22"/>
    </row>
    <row r="248" spans="4:4" ht="15.75" customHeight="1">
      <c r="D248" s="22"/>
    </row>
    <row r="249" spans="4:4" ht="15.75" customHeight="1">
      <c r="D249" s="22"/>
    </row>
    <row r="250" spans="4:4" ht="15.75" customHeight="1">
      <c r="D250" s="22"/>
    </row>
    <row r="251" spans="4:4" ht="15.75" customHeight="1">
      <c r="D251" s="22"/>
    </row>
    <row r="252" spans="4:4" ht="15.75" customHeight="1">
      <c r="D252" s="22"/>
    </row>
    <row r="253" spans="4:4" ht="15.75" customHeight="1">
      <c r="D253" s="22"/>
    </row>
    <row r="254" spans="4:4" ht="15.75" customHeight="1">
      <c r="D254" s="22"/>
    </row>
    <row r="255" spans="4:4" ht="15.75" customHeight="1">
      <c r="D255" s="22"/>
    </row>
    <row r="256" spans="4:4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</sheetData>
  <mergeCells count="72">
    <mergeCell ref="E10:E11"/>
    <mergeCell ref="F10:F11"/>
    <mergeCell ref="B12:B13"/>
    <mergeCell ref="C12:C13"/>
    <mergeCell ref="D12:D13"/>
    <mergeCell ref="E12:E13"/>
    <mergeCell ref="F12:F13"/>
    <mergeCell ref="B23:C24"/>
    <mergeCell ref="D23:D24"/>
    <mergeCell ref="B25:C26"/>
    <mergeCell ref="D25:D26"/>
    <mergeCell ref="D21:D22"/>
    <mergeCell ref="B14:E14"/>
    <mergeCell ref="B16:C16"/>
    <mergeCell ref="E16:F16"/>
    <mergeCell ref="D17:D18"/>
    <mergeCell ref="E17:F20"/>
    <mergeCell ref="D19:D20"/>
    <mergeCell ref="B17:C18"/>
    <mergeCell ref="E21:F26"/>
    <mergeCell ref="H21:I22"/>
    <mergeCell ref="H23:I24"/>
    <mergeCell ref="J23:J24"/>
    <mergeCell ref="H25:I26"/>
    <mergeCell ref="J25:J26"/>
    <mergeCell ref="J21:J22"/>
    <mergeCell ref="H17:I18"/>
    <mergeCell ref="J17:J18"/>
    <mergeCell ref="K17:L20"/>
    <mergeCell ref="H19:I20"/>
    <mergeCell ref="J19:J20"/>
    <mergeCell ref="K21:L26"/>
    <mergeCell ref="B3:I3"/>
    <mergeCell ref="J3:P3"/>
    <mergeCell ref="B6:C6"/>
    <mergeCell ref="D6:E6"/>
    <mergeCell ref="H6:I6"/>
    <mergeCell ref="J6:K6"/>
    <mergeCell ref="B8:F8"/>
    <mergeCell ref="B10:B11"/>
    <mergeCell ref="C10:C11"/>
    <mergeCell ref="D10:D11"/>
    <mergeCell ref="H14:K14"/>
    <mergeCell ref="H16:I16"/>
    <mergeCell ref="K16:L16"/>
    <mergeCell ref="B19:C20"/>
    <mergeCell ref="B21:C22"/>
    <mergeCell ref="Q6:R6"/>
    <mergeCell ref="J10:J11"/>
    <mergeCell ref="K10:K11"/>
    <mergeCell ref="J12:J13"/>
    <mergeCell ref="K12:K13"/>
    <mergeCell ref="L12:L13"/>
    <mergeCell ref="H8:L8"/>
    <mergeCell ref="N8:P8"/>
    <mergeCell ref="L10:L11"/>
    <mergeCell ref="P10:P11"/>
    <mergeCell ref="H10:H11"/>
    <mergeCell ref="I10:I11"/>
    <mergeCell ref="H12:H13"/>
    <mergeCell ref="I12:I13"/>
    <mergeCell ref="N19:P20"/>
    <mergeCell ref="N21:P22"/>
    <mergeCell ref="N23:P24"/>
    <mergeCell ref="N25:P26"/>
    <mergeCell ref="N9:O9"/>
    <mergeCell ref="N10:O11"/>
    <mergeCell ref="N12:O13"/>
    <mergeCell ref="P12:P13"/>
    <mergeCell ref="N14:O14"/>
    <mergeCell ref="N16:P16"/>
    <mergeCell ref="N17:P18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B1:AL998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3.140625" customWidth="1"/>
    <col min="4" max="6" width="25.85546875" customWidth="1"/>
    <col min="7" max="7" width="5.85546875" customWidth="1"/>
    <col min="8" max="8" width="10.85546875" customWidth="1"/>
    <col min="9" max="9" width="39.5703125" customWidth="1"/>
    <col min="10" max="10" width="28.28515625" customWidth="1"/>
    <col min="11" max="11" width="26.5703125" customWidth="1"/>
    <col min="12" max="13" width="25.85546875" customWidth="1"/>
    <col min="14" max="15" width="27.5703125" customWidth="1"/>
    <col min="16" max="17" width="25.85546875" customWidth="1"/>
    <col min="18" max="18" width="5.85546875" customWidth="1"/>
    <col min="19" max="23" width="25.85546875" customWidth="1"/>
    <col min="24" max="24" width="5.85546875" customWidth="1"/>
    <col min="25" max="27" width="25.85546875" customWidth="1"/>
  </cols>
  <sheetData>
    <row r="1" spans="2:38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2:38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2:38" ht="54" customHeight="1">
      <c r="B3" s="173" t="s">
        <v>0</v>
      </c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217" t="s">
        <v>41</v>
      </c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2:38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2:38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2:38" ht="31.5" customHeight="1">
      <c r="B6" s="176" t="s">
        <v>2</v>
      </c>
      <c r="C6" s="177"/>
      <c r="D6" s="218" t="s">
        <v>46</v>
      </c>
      <c r="E6" s="143"/>
      <c r="F6" s="3"/>
      <c r="G6" s="3"/>
      <c r="H6" s="176" t="s">
        <v>47</v>
      </c>
      <c r="I6" s="177"/>
      <c r="J6" s="25"/>
      <c r="K6" s="219" t="s">
        <v>48</v>
      </c>
      <c r="L6" s="143"/>
      <c r="M6" s="26"/>
      <c r="N6" s="26"/>
      <c r="O6" s="26"/>
      <c r="P6" s="27"/>
      <c r="Q6" s="3"/>
      <c r="R6" s="3"/>
      <c r="S6" s="176" t="s">
        <v>3</v>
      </c>
      <c r="T6" s="177"/>
      <c r="U6" s="179" t="s">
        <v>49</v>
      </c>
      <c r="V6" s="143"/>
      <c r="W6" s="3"/>
      <c r="X6" s="3"/>
      <c r="Y6" s="3"/>
      <c r="Z6" s="4" t="s">
        <v>5</v>
      </c>
      <c r="AA6" s="5">
        <f ca="1">TODAY()</f>
        <v>45987</v>
      </c>
      <c r="AB6" s="180"/>
      <c r="AC6" s="174"/>
      <c r="AD6" s="1"/>
      <c r="AE6" s="1"/>
      <c r="AF6" s="1"/>
      <c r="AG6" s="1"/>
      <c r="AH6" s="1"/>
      <c r="AI6" s="1"/>
      <c r="AJ6" s="1"/>
      <c r="AK6" s="1"/>
      <c r="AL6" s="1"/>
    </row>
    <row r="7" spans="2:38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2:38" ht="31.5" customHeight="1">
      <c r="B8" s="212" t="s">
        <v>6</v>
      </c>
      <c r="C8" s="145"/>
      <c r="D8" s="145"/>
      <c r="E8" s="145"/>
      <c r="F8" s="143"/>
      <c r="G8" s="6"/>
      <c r="H8" s="142" t="s">
        <v>50</v>
      </c>
      <c r="I8" s="145"/>
      <c r="J8" s="145"/>
      <c r="K8" s="145"/>
      <c r="L8" s="145"/>
      <c r="M8" s="145"/>
      <c r="N8" s="145"/>
      <c r="O8" s="145"/>
      <c r="P8" s="145"/>
      <c r="Q8" s="143"/>
      <c r="R8" s="6"/>
      <c r="S8" s="214" t="s">
        <v>7</v>
      </c>
      <c r="T8" s="145"/>
      <c r="U8" s="145"/>
      <c r="V8" s="145"/>
      <c r="W8" s="143"/>
      <c r="X8" s="6"/>
      <c r="Y8" s="144" t="s">
        <v>8</v>
      </c>
      <c r="Z8" s="145"/>
      <c r="AA8" s="143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2:38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7" t="s">
        <v>9</v>
      </c>
      <c r="I9" s="8" t="s">
        <v>10</v>
      </c>
      <c r="J9" s="9" t="s">
        <v>51</v>
      </c>
      <c r="K9" s="9" t="s">
        <v>52</v>
      </c>
      <c r="L9" s="9" t="s">
        <v>53</v>
      </c>
      <c r="M9" s="9" t="s">
        <v>54</v>
      </c>
      <c r="N9" s="9" t="s">
        <v>55</v>
      </c>
      <c r="O9" s="9" t="s">
        <v>56</v>
      </c>
      <c r="P9" s="9" t="s">
        <v>12</v>
      </c>
      <c r="Q9" s="9" t="s">
        <v>13</v>
      </c>
      <c r="R9" s="10"/>
      <c r="S9" s="9" t="s">
        <v>57</v>
      </c>
      <c r="T9" s="9" t="s">
        <v>15</v>
      </c>
      <c r="U9" s="9" t="s">
        <v>16</v>
      </c>
      <c r="V9" s="9" t="s">
        <v>17</v>
      </c>
      <c r="W9" s="9" t="s">
        <v>13</v>
      </c>
      <c r="X9" s="10"/>
      <c r="Y9" s="215"/>
      <c r="Z9" s="143"/>
      <c r="AA9" s="11" t="s">
        <v>13</v>
      </c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</row>
    <row r="10" spans="2:38" ht="31.5" customHeight="1">
      <c r="B10" s="165">
        <v>1</v>
      </c>
      <c r="C10" s="158" t="s">
        <v>18</v>
      </c>
      <c r="D10" s="159">
        <v>2790</v>
      </c>
      <c r="E10" s="160">
        <v>1</v>
      </c>
      <c r="F10" s="159">
        <f>(D10*E10)+D10</f>
        <v>5580</v>
      </c>
      <c r="G10" s="28"/>
      <c r="H10" s="165">
        <v>4</v>
      </c>
      <c r="I10" s="158" t="s">
        <v>18</v>
      </c>
      <c r="J10" s="159">
        <v>190</v>
      </c>
      <c r="K10" s="159">
        <v>190</v>
      </c>
      <c r="L10" s="159">
        <v>190</v>
      </c>
      <c r="M10" s="159">
        <v>450</v>
      </c>
      <c r="N10" s="159" t="s">
        <v>58</v>
      </c>
      <c r="O10" s="159">
        <v>450</v>
      </c>
      <c r="P10" s="160">
        <v>0.5</v>
      </c>
      <c r="Q10" s="159">
        <v>1850</v>
      </c>
      <c r="R10" s="12"/>
      <c r="S10" s="159">
        <v>380</v>
      </c>
      <c r="T10" s="159"/>
      <c r="U10" s="159">
        <v>1330</v>
      </c>
      <c r="V10" s="159"/>
      <c r="W10" s="159">
        <f>SUM(S10:V10)</f>
        <v>1710</v>
      </c>
      <c r="X10" s="12"/>
      <c r="Y10" s="172" t="s">
        <v>19</v>
      </c>
      <c r="Z10" s="127"/>
      <c r="AA10" s="213">
        <f>F16</f>
        <v>5580</v>
      </c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</row>
    <row r="11" spans="2:38" ht="31.5" customHeight="1">
      <c r="B11" s="147"/>
      <c r="C11" s="147"/>
      <c r="D11" s="147"/>
      <c r="E11" s="147"/>
      <c r="F11" s="147"/>
      <c r="G11" s="28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2"/>
      <c r="S11" s="147"/>
      <c r="T11" s="147"/>
      <c r="U11" s="147"/>
      <c r="V11" s="147"/>
      <c r="W11" s="147"/>
      <c r="X11" s="12"/>
      <c r="Y11" s="128"/>
      <c r="Z11" s="129"/>
      <c r="AA11" s="147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</row>
    <row r="12" spans="2:38" ht="31.5" customHeight="1">
      <c r="B12" s="167">
        <v>2</v>
      </c>
      <c r="C12" s="167"/>
      <c r="D12" s="168"/>
      <c r="E12" s="151"/>
      <c r="F12" s="168"/>
      <c r="G12" s="28"/>
      <c r="H12" s="167">
        <v>5</v>
      </c>
      <c r="I12" s="167" t="s">
        <v>20</v>
      </c>
      <c r="J12" s="216">
        <v>190</v>
      </c>
      <c r="K12" s="216">
        <f>190*2</f>
        <v>380</v>
      </c>
      <c r="L12" s="168">
        <v>190</v>
      </c>
      <c r="M12" s="168">
        <v>450</v>
      </c>
      <c r="N12" s="168" t="s">
        <v>58</v>
      </c>
      <c r="O12" s="168">
        <v>450</v>
      </c>
      <c r="P12" s="169"/>
      <c r="Q12" s="159">
        <f>SUM(J12+K12+L12+M12+O12)</f>
        <v>1660</v>
      </c>
      <c r="R12" s="12"/>
      <c r="S12" s="151"/>
      <c r="T12" s="168">
        <v>1330</v>
      </c>
      <c r="U12" s="168"/>
      <c r="V12" s="151"/>
      <c r="W12" s="168">
        <f>SUM(S12:V12)</f>
        <v>1330</v>
      </c>
      <c r="X12" s="12"/>
      <c r="Y12" s="206" t="s">
        <v>59</v>
      </c>
      <c r="Z12" s="127"/>
      <c r="AA12" s="166">
        <f>Q16</f>
        <v>3510</v>
      </c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2:38" ht="31.5" customHeight="1">
      <c r="B13" s="147"/>
      <c r="C13" s="147"/>
      <c r="D13" s="147"/>
      <c r="E13" s="147"/>
      <c r="F13" s="147"/>
      <c r="G13" s="28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2"/>
      <c r="S13" s="147"/>
      <c r="T13" s="147"/>
      <c r="U13" s="147"/>
      <c r="V13" s="147"/>
      <c r="W13" s="147"/>
      <c r="X13" s="12"/>
      <c r="Y13" s="128"/>
      <c r="Z13" s="129"/>
      <c r="AA13" s="147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</row>
    <row r="14" spans="2:38" ht="31.5" customHeight="1">
      <c r="B14" s="167">
        <v>3</v>
      </c>
      <c r="C14" s="167"/>
      <c r="D14" s="168"/>
      <c r="E14" s="151"/>
      <c r="F14" s="168"/>
      <c r="G14" s="28"/>
      <c r="H14" s="158">
        <v>6</v>
      </c>
      <c r="I14" s="158"/>
      <c r="J14" s="209"/>
      <c r="K14" s="209"/>
      <c r="L14" s="159"/>
      <c r="M14" s="159"/>
      <c r="N14" s="159"/>
      <c r="O14" s="159"/>
      <c r="P14" s="160"/>
      <c r="Q14" s="159"/>
      <c r="R14" s="12"/>
      <c r="S14" s="154"/>
      <c r="T14" s="154"/>
      <c r="U14" s="159"/>
      <c r="V14" s="154"/>
      <c r="W14" s="159">
        <f>SUM(S14:V14)</f>
        <v>0</v>
      </c>
      <c r="X14" s="12"/>
      <c r="Y14" s="206" t="s">
        <v>21</v>
      </c>
      <c r="Z14" s="127"/>
      <c r="AA14" s="163">
        <f>W16</f>
        <v>3040</v>
      </c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</row>
    <row r="15" spans="2:38" ht="31.5" customHeight="1">
      <c r="B15" s="147"/>
      <c r="C15" s="147"/>
      <c r="D15" s="147"/>
      <c r="E15" s="147"/>
      <c r="F15" s="147"/>
      <c r="G15" s="28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2"/>
      <c r="S15" s="147"/>
      <c r="T15" s="147"/>
      <c r="U15" s="147"/>
      <c r="V15" s="147"/>
      <c r="W15" s="147"/>
      <c r="X15" s="12"/>
      <c r="Y15" s="128"/>
      <c r="Z15" s="129"/>
      <c r="AA15" s="147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spans="2:38" ht="31.5" customHeight="1">
      <c r="B16" s="210" t="s">
        <v>19</v>
      </c>
      <c r="C16" s="145"/>
      <c r="D16" s="145"/>
      <c r="E16" s="143"/>
      <c r="F16" s="29">
        <f>SUM(F10:F13)</f>
        <v>5580</v>
      </c>
      <c r="G16" s="13"/>
      <c r="H16" s="210" t="s">
        <v>59</v>
      </c>
      <c r="I16" s="145"/>
      <c r="J16" s="145"/>
      <c r="K16" s="145"/>
      <c r="L16" s="145"/>
      <c r="M16" s="145"/>
      <c r="N16" s="145"/>
      <c r="O16" s="145"/>
      <c r="P16" s="143"/>
      <c r="Q16" s="14">
        <f>SUM(Q10:Q13)</f>
        <v>3510</v>
      </c>
      <c r="R16" s="13"/>
      <c r="S16" s="203" t="s">
        <v>21</v>
      </c>
      <c r="T16" s="145"/>
      <c r="U16" s="145"/>
      <c r="V16" s="143"/>
      <c r="W16" s="30">
        <f>SUM(W10:W13)</f>
        <v>3040</v>
      </c>
      <c r="X16" s="13"/>
      <c r="Y16" s="164" t="s">
        <v>25</v>
      </c>
      <c r="Z16" s="143"/>
      <c r="AA16" s="16">
        <f>SUM(AA10:AA15)</f>
        <v>12130</v>
      </c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2:38" ht="31.5" customHeight="1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</row>
    <row r="18" spans="2:38" ht="31.5" customHeight="1">
      <c r="B18" s="212" t="s">
        <v>26</v>
      </c>
      <c r="C18" s="143"/>
      <c r="D18" s="31" t="s">
        <v>9</v>
      </c>
      <c r="E18" s="212" t="s">
        <v>27</v>
      </c>
      <c r="F18" s="143"/>
      <c r="G18" s="6"/>
      <c r="H18" s="142" t="s">
        <v>26</v>
      </c>
      <c r="I18" s="145"/>
      <c r="J18" s="145"/>
      <c r="K18" s="143"/>
      <c r="L18" s="32" t="s">
        <v>9</v>
      </c>
      <c r="M18" s="142" t="s">
        <v>27</v>
      </c>
      <c r="N18" s="145"/>
      <c r="O18" s="145"/>
      <c r="P18" s="145"/>
      <c r="Q18" s="143"/>
      <c r="R18" s="6"/>
      <c r="S18" s="156" t="s">
        <v>26</v>
      </c>
      <c r="T18" s="143"/>
      <c r="U18" s="24" t="s">
        <v>9</v>
      </c>
      <c r="V18" s="156" t="s">
        <v>27</v>
      </c>
      <c r="W18" s="143"/>
      <c r="X18" s="6"/>
      <c r="Y18" s="176" t="s">
        <v>28</v>
      </c>
      <c r="Z18" s="145"/>
      <c r="AA18" s="143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2:38" ht="31.5" customHeight="1">
      <c r="B19" s="161" t="s">
        <v>29</v>
      </c>
      <c r="C19" s="127"/>
      <c r="D19" s="207">
        <v>1</v>
      </c>
      <c r="E19" s="148" t="s">
        <v>30</v>
      </c>
      <c r="F19" s="127"/>
      <c r="G19" s="1"/>
      <c r="H19" s="161" t="s">
        <v>60</v>
      </c>
      <c r="I19" s="139"/>
      <c r="J19" s="139"/>
      <c r="K19" s="127"/>
      <c r="L19" s="207">
        <v>2</v>
      </c>
      <c r="M19" s="211" t="s">
        <v>61</v>
      </c>
      <c r="N19" s="139"/>
      <c r="O19" s="139"/>
      <c r="P19" s="139"/>
      <c r="Q19" s="127"/>
      <c r="R19" s="19"/>
      <c r="S19" s="155" t="s">
        <v>62</v>
      </c>
      <c r="T19" s="127"/>
      <c r="U19" s="167">
        <f>COUNT(S10:S13)</f>
        <v>1</v>
      </c>
      <c r="V19" s="148" t="s">
        <v>63</v>
      </c>
      <c r="W19" s="127"/>
      <c r="X19" s="19"/>
      <c r="Y19" s="204" t="s">
        <v>64</v>
      </c>
      <c r="Z19" s="139"/>
      <c r="AA19" s="127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spans="2:38" ht="31.5" customHeight="1">
      <c r="B20" s="128"/>
      <c r="C20" s="129"/>
      <c r="D20" s="147"/>
      <c r="E20" s="149"/>
      <c r="F20" s="150"/>
      <c r="G20" s="1"/>
      <c r="H20" s="128"/>
      <c r="I20" s="140"/>
      <c r="J20" s="140"/>
      <c r="K20" s="129"/>
      <c r="L20" s="147"/>
      <c r="M20" s="149"/>
      <c r="N20" s="174"/>
      <c r="O20" s="174"/>
      <c r="P20" s="174"/>
      <c r="Q20" s="150"/>
      <c r="R20" s="19"/>
      <c r="S20" s="128"/>
      <c r="T20" s="129"/>
      <c r="U20" s="147"/>
      <c r="V20" s="149"/>
      <c r="W20" s="150"/>
      <c r="X20" s="19"/>
      <c r="Y20" s="128"/>
      <c r="Z20" s="140"/>
      <c r="AA20" s="129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2:38" ht="31.5" customHeight="1">
      <c r="B21" s="162" t="s">
        <v>34</v>
      </c>
      <c r="C21" s="127"/>
      <c r="D21" s="165">
        <v>2</v>
      </c>
      <c r="E21" s="149"/>
      <c r="F21" s="150"/>
      <c r="G21" s="1"/>
      <c r="H21" s="162" t="s">
        <v>52</v>
      </c>
      <c r="I21" s="139"/>
      <c r="J21" s="139"/>
      <c r="K21" s="127"/>
      <c r="L21" s="165">
        <v>2</v>
      </c>
      <c r="M21" s="149"/>
      <c r="N21" s="174"/>
      <c r="O21" s="174"/>
      <c r="P21" s="174"/>
      <c r="Q21" s="150"/>
      <c r="R21" s="19"/>
      <c r="S21" s="153" t="s">
        <v>15</v>
      </c>
      <c r="T21" s="127"/>
      <c r="U21" s="165">
        <f>COUNT(T10:T13)</f>
        <v>1</v>
      </c>
      <c r="V21" s="149"/>
      <c r="W21" s="150"/>
      <c r="X21" s="19"/>
      <c r="Y21" s="205"/>
      <c r="Z21" s="139"/>
      <c r="AA21" s="127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 spans="2:38" ht="31.5" customHeight="1">
      <c r="B22" s="128"/>
      <c r="C22" s="129"/>
      <c r="D22" s="147"/>
      <c r="E22" s="128"/>
      <c r="F22" s="129"/>
      <c r="G22" s="1"/>
      <c r="H22" s="128"/>
      <c r="I22" s="140"/>
      <c r="J22" s="140"/>
      <c r="K22" s="129"/>
      <c r="L22" s="147"/>
      <c r="M22" s="128"/>
      <c r="N22" s="140"/>
      <c r="O22" s="140"/>
      <c r="P22" s="140"/>
      <c r="Q22" s="129"/>
      <c r="R22" s="19"/>
      <c r="S22" s="128"/>
      <c r="T22" s="129"/>
      <c r="U22" s="147"/>
      <c r="V22" s="128"/>
      <c r="W22" s="129"/>
      <c r="X22" s="19"/>
      <c r="Y22" s="128"/>
      <c r="Z22" s="140"/>
      <c r="AA22" s="129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</row>
    <row r="23" spans="2:38" ht="31.5" customHeight="1">
      <c r="B23" s="161" t="s">
        <v>35</v>
      </c>
      <c r="C23" s="127"/>
      <c r="D23" s="167">
        <v>2</v>
      </c>
      <c r="E23" s="148" t="s">
        <v>36</v>
      </c>
      <c r="F23" s="127"/>
      <c r="G23" s="1"/>
      <c r="H23" s="161" t="s">
        <v>35</v>
      </c>
      <c r="I23" s="139"/>
      <c r="J23" s="139"/>
      <c r="K23" s="127"/>
      <c r="L23" s="207">
        <v>1</v>
      </c>
      <c r="M23" s="208" t="s">
        <v>65</v>
      </c>
      <c r="N23" s="139"/>
      <c r="O23" s="139"/>
      <c r="P23" s="139"/>
      <c r="Q23" s="127"/>
      <c r="R23" s="19"/>
      <c r="S23" s="155" t="s">
        <v>16</v>
      </c>
      <c r="T23" s="127"/>
      <c r="U23" s="167">
        <f>COUNT(U10:U13)</f>
        <v>1</v>
      </c>
      <c r="V23" s="148" t="s">
        <v>37</v>
      </c>
      <c r="W23" s="127"/>
      <c r="X23" s="19"/>
      <c r="Y23" s="202"/>
      <c r="Z23" s="139"/>
      <c r="AA23" s="127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</row>
    <row r="24" spans="2:38" ht="31.5" customHeight="1">
      <c r="B24" s="128"/>
      <c r="C24" s="129"/>
      <c r="D24" s="147"/>
      <c r="E24" s="149"/>
      <c r="F24" s="150"/>
      <c r="G24" s="1"/>
      <c r="H24" s="128"/>
      <c r="I24" s="140"/>
      <c r="J24" s="140"/>
      <c r="K24" s="129"/>
      <c r="L24" s="147"/>
      <c r="M24" s="149"/>
      <c r="N24" s="174"/>
      <c r="O24" s="174"/>
      <c r="P24" s="174"/>
      <c r="Q24" s="150"/>
      <c r="R24" s="19"/>
      <c r="S24" s="128"/>
      <c r="T24" s="129"/>
      <c r="U24" s="147"/>
      <c r="V24" s="149"/>
      <c r="W24" s="150"/>
      <c r="X24" s="19"/>
      <c r="Y24" s="128"/>
      <c r="Z24" s="140"/>
      <c r="AA24" s="129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</row>
    <row r="25" spans="2:38" ht="31.5" customHeight="1">
      <c r="B25" s="162" t="s">
        <v>38</v>
      </c>
      <c r="C25" s="127"/>
      <c r="D25" s="165">
        <v>1</v>
      </c>
      <c r="E25" s="149"/>
      <c r="F25" s="150"/>
      <c r="G25" s="1"/>
      <c r="H25" s="162" t="s">
        <v>39</v>
      </c>
      <c r="I25" s="139"/>
      <c r="J25" s="139"/>
      <c r="K25" s="127"/>
      <c r="L25" s="165">
        <v>2</v>
      </c>
      <c r="M25" s="149"/>
      <c r="N25" s="174"/>
      <c r="O25" s="174"/>
      <c r="P25" s="174"/>
      <c r="Q25" s="150"/>
      <c r="R25" s="19"/>
      <c r="S25" s="153" t="s">
        <v>17</v>
      </c>
      <c r="T25" s="127"/>
      <c r="U25" s="158">
        <f>COUNT(V10:V13)</f>
        <v>0</v>
      </c>
      <c r="V25" s="149"/>
      <c r="W25" s="150"/>
      <c r="X25" s="19"/>
      <c r="Y25" s="201"/>
      <c r="Z25" s="139"/>
      <c r="AA25" s="127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</row>
    <row r="26" spans="2:38" ht="31.5" customHeight="1">
      <c r="B26" s="128"/>
      <c r="C26" s="129"/>
      <c r="D26" s="147"/>
      <c r="E26" s="149"/>
      <c r="F26" s="150"/>
      <c r="G26" s="1"/>
      <c r="H26" s="128"/>
      <c r="I26" s="140"/>
      <c r="J26" s="140"/>
      <c r="K26" s="129"/>
      <c r="L26" s="147"/>
      <c r="M26" s="128"/>
      <c r="N26" s="140"/>
      <c r="O26" s="140"/>
      <c r="P26" s="140"/>
      <c r="Q26" s="129"/>
      <c r="R26" s="19"/>
      <c r="S26" s="128"/>
      <c r="T26" s="129"/>
      <c r="U26" s="147"/>
      <c r="V26" s="149"/>
      <c r="W26" s="150"/>
      <c r="X26" s="19"/>
      <c r="Y26" s="128"/>
      <c r="Z26" s="140"/>
      <c r="AA26" s="129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2:38" ht="31.5" customHeight="1">
      <c r="B27" s="161" t="s">
        <v>39</v>
      </c>
      <c r="C27" s="127"/>
      <c r="D27" s="167">
        <v>2</v>
      </c>
      <c r="E27" s="149"/>
      <c r="F27" s="150"/>
      <c r="G27" s="1"/>
      <c r="H27" s="161" t="s">
        <v>38</v>
      </c>
      <c r="I27" s="139"/>
      <c r="J27" s="139"/>
      <c r="K27" s="127"/>
      <c r="L27" s="167">
        <v>1</v>
      </c>
      <c r="M27" s="208" t="s">
        <v>66</v>
      </c>
      <c r="N27" s="139"/>
      <c r="O27" s="139"/>
      <c r="P27" s="139"/>
      <c r="Q27" s="127"/>
      <c r="R27" s="19"/>
      <c r="S27" s="155" t="s">
        <v>40</v>
      </c>
      <c r="T27" s="127"/>
      <c r="U27" s="167">
        <v>0</v>
      </c>
      <c r="V27" s="149"/>
      <c r="W27" s="150"/>
      <c r="X27" s="19"/>
      <c r="Y27" s="202"/>
      <c r="Z27" s="139"/>
      <c r="AA27" s="127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</row>
    <row r="28" spans="2:38" ht="31.5" customHeight="1">
      <c r="B28" s="128"/>
      <c r="C28" s="129"/>
      <c r="D28" s="147"/>
      <c r="E28" s="128"/>
      <c r="F28" s="129"/>
      <c r="G28" s="1"/>
      <c r="H28" s="128"/>
      <c r="I28" s="140"/>
      <c r="J28" s="140"/>
      <c r="K28" s="129"/>
      <c r="L28" s="147"/>
      <c r="M28" s="128"/>
      <c r="N28" s="140"/>
      <c r="O28" s="140"/>
      <c r="P28" s="140"/>
      <c r="Q28" s="129"/>
      <c r="R28" s="19"/>
      <c r="S28" s="128"/>
      <c r="T28" s="129"/>
      <c r="U28" s="147"/>
      <c r="V28" s="128"/>
      <c r="W28" s="129"/>
      <c r="X28" s="19"/>
      <c r="Y28" s="128"/>
      <c r="Z28" s="140"/>
      <c r="AA28" s="129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</row>
    <row r="29" spans="2:38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2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spans="2:38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spans="2:38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2:38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spans="2:38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spans="2:38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spans="2:38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spans="2:38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spans="2:38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spans="2:38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2:38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2:38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2:38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2:38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2:38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2:38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2:38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2:38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2:38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2:38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2:38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2:38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2:38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2:38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2:38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2:38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2:38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2:38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2:38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2:38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2:38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2:38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2:38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2:38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2:38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2:38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2:38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2:38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2:38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2:38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2:38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2:38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2:38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2:38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2:38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2:38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2:38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2:38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2:38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2:38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2:38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2:38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2:38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2:38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2:38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2:38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2:38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2:38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2:38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2:38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2:38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2:38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2:38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2:38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2:38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2:38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2:38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2:38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2:38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2:38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2:38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2:38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2:38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2:38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2:38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2:38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2:38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2:38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2:38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2:38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2:38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2:38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2:38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2:38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2:38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2:38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2:38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2:38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2:38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2:38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2:38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2:38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2:38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2:38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2:38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2:38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2:38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2:38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2:38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2:38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2:38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2:38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2:38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2:38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2:38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2:38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2:38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2:38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2:38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2:38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2:38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2:38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2:38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2:38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2:38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2:38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2:38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2:38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2:38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2:38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2:38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2:38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2:38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2:38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2:38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2:38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2:38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2:38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2:38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2:38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2:38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2:38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2:38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2:38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2:38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2:38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2:38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2:38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2:38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2:38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2:38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2:38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2:38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2:38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2:38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2:38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2:38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2:38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2:38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2:38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2:38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2:38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2:38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2:38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2:38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2:38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2:38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2:38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2:38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2:38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2:38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2:38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2:38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2:38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2:38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2:38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2:38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2:38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2:38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2:38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2:38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2:38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2:38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2:38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2:38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2:38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2:38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2:38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2:38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2:38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2:38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2:38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2:38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2:38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2:38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2:38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2:38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2:38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2:38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2:38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2:38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2:38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2:38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2:38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2:38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2:38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2:38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2:38" ht="15.75" customHeight="1"/>
    <row r="227" spans="2:38" ht="15.75" customHeight="1"/>
    <row r="228" spans="2:38" ht="15.75" customHeight="1"/>
    <row r="229" spans="2:38" ht="15.75" customHeight="1"/>
    <row r="230" spans="2:38" ht="15.75" customHeight="1"/>
    <row r="231" spans="2:38" ht="15.75" customHeight="1"/>
    <row r="232" spans="2:38" ht="15.75" customHeight="1"/>
    <row r="233" spans="2:38" ht="15.75" customHeight="1"/>
    <row r="234" spans="2:38" ht="15.75" customHeight="1"/>
    <row r="235" spans="2:38" ht="15.75" customHeight="1"/>
    <row r="236" spans="2:38" ht="15.75" customHeight="1"/>
    <row r="237" spans="2:38" ht="15.75" customHeight="1"/>
    <row r="238" spans="2:38" ht="15.75" customHeight="1"/>
    <row r="239" spans="2:38" ht="15.75" customHeight="1"/>
    <row r="240" spans="2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33">
    <mergeCell ref="B3:P3"/>
    <mergeCell ref="Q3:AA3"/>
    <mergeCell ref="B6:C6"/>
    <mergeCell ref="D6:E6"/>
    <mergeCell ref="H6:I6"/>
    <mergeCell ref="K6:L6"/>
    <mergeCell ref="S6:T6"/>
    <mergeCell ref="I10:I11"/>
    <mergeCell ref="J10:J11"/>
    <mergeCell ref="K10:K11"/>
    <mergeCell ref="L10:L11"/>
    <mergeCell ref="M10:M11"/>
    <mergeCell ref="N10:N11"/>
    <mergeCell ref="O10:O11"/>
    <mergeCell ref="U6:V6"/>
    <mergeCell ref="AB6:AC6"/>
    <mergeCell ref="B12:B13"/>
    <mergeCell ref="C12:C13"/>
    <mergeCell ref="D12:D13"/>
    <mergeCell ref="E12:E13"/>
    <mergeCell ref="F12:F13"/>
    <mergeCell ref="P10:P11"/>
    <mergeCell ref="W12:W13"/>
    <mergeCell ref="Y12:Z13"/>
    <mergeCell ref="O12:O13"/>
    <mergeCell ref="P12:P13"/>
    <mergeCell ref="Q12:Q13"/>
    <mergeCell ref="S12:S13"/>
    <mergeCell ref="T12:T13"/>
    <mergeCell ref="U12:U13"/>
    <mergeCell ref="V12:V13"/>
    <mergeCell ref="Q10:Q11"/>
    <mergeCell ref="S10:S11"/>
    <mergeCell ref="T10:T11"/>
    <mergeCell ref="U10:U11"/>
    <mergeCell ref="V10:V11"/>
    <mergeCell ref="W10:W11"/>
    <mergeCell ref="Y10:Z11"/>
    <mergeCell ref="D10:D11"/>
    <mergeCell ref="E10:E11"/>
    <mergeCell ref="B16:E16"/>
    <mergeCell ref="B18:C18"/>
    <mergeCell ref="E18:F18"/>
    <mergeCell ref="B19:C20"/>
    <mergeCell ref="D19:D20"/>
    <mergeCell ref="E19:F22"/>
    <mergeCell ref="AA10:AA11"/>
    <mergeCell ref="AA12:AA13"/>
    <mergeCell ref="B8:F8"/>
    <mergeCell ref="H8:Q8"/>
    <mergeCell ref="S8:W8"/>
    <mergeCell ref="Y8:AA8"/>
    <mergeCell ref="Y9:Z9"/>
    <mergeCell ref="B10:B11"/>
    <mergeCell ref="C10:C11"/>
    <mergeCell ref="H12:H13"/>
    <mergeCell ref="I12:I13"/>
    <mergeCell ref="J12:J13"/>
    <mergeCell ref="K12:K13"/>
    <mergeCell ref="L12:L13"/>
    <mergeCell ref="M12:M13"/>
    <mergeCell ref="N12:N13"/>
    <mergeCell ref="F10:F11"/>
    <mergeCell ref="H10:H11"/>
    <mergeCell ref="H27:K28"/>
    <mergeCell ref="L27:L28"/>
    <mergeCell ref="M27:Q28"/>
    <mergeCell ref="S27:T28"/>
    <mergeCell ref="B23:C24"/>
    <mergeCell ref="D23:D24"/>
    <mergeCell ref="E23:F28"/>
    <mergeCell ref="B25:C26"/>
    <mergeCell ref="D25:D26"/>
    <mergeCell ref="B27:C28"/>
    <mergeCell ref="D27:D28"/>
    <mergeCell ref="M18:Q18"/>
    <mergeCell ref="M19:Q22"/>
    <mergeCell ref="S19:T20"/>
    <mergeCell ref="L19:L20"/>
    <mergeCell ref="H23:K24"/>
    <mergeCell ref="H25:K26"/>
    <mergeCell ref="S23:T24"/>
    <mergeCell ref="S25:T26"/>
    <mergeCell ref="L25:L26"/>
    <mergeCell ref="K14:K15"/>
    <mergeCell ref="L14:L15"/>
    <mergeCell ref="M14:M15"/>
    <mergeCell ref="N14:N15"/>
    <mergeCell ref="O14:O15"/>
    <mergeCell ref="P14:P15"/>
    <mergeCell ref="H16:P16"/>
    <mergeCell ref="Q14:Q15"/>
    <mergeCell ref="S14:S15"/>
    <mergeCell ref="B21:C22"/>
    <mergeCell ref="D21:D22"/>
    <mergeCell ref="H21:K22"/>
    <mergeCell ref="L21:L22"/>
    <mergeCell ref="Y23:AA24"/>
    <mergeCell ref="Y14:Z15"/>
    <mergeCell ref="AA14:AA15"/>
    <mergeCell ref="Y16:Z16"/>
    <mergeCell ref="B14:B15"/>
    <mergeCell ref="C14:C15"/>
    <mergeCell ref="D14:D15"/>
    <mergeCell ref="E14:E15"/>
    <mergeCell ref="F14:F15"/>
    <mergeCell ref="H14:H15"/>
    <mergeCell ref="I14:I15"/>
    <mergeCell ref="H18:K18"/>
    <mergeCell ref="H19:K20"/>
    <mergeCell ref="L23:L24"/>
    <mergeCell ref="M23:Q26"/>
    <mergeCell ref="U23:U24"/>
    <mergeCell ref="V23:W28"/>
    <mergeCell ref="U25:U26"/>
    <mergeCell ref="U27:U28"/>
    <mergeCell ref="J14:J15"/>
    <mergeCell ref="Y25:AA26"/>
    <mergeCell ref="Y27:AA28"/>
    <mergeCell ref="V14:V15"/>
    <mergeCell ref="S16:V16"/>
    <mergeCell ref="S18:T18"/>
    <mergeCell ref="V18:W18"/>
    <mergeCell ref="Y18:AA18"/>
    <mergeCell ref="Y19:AA20"/>
    <mergeCell ref="Y21:AA22"/>
    <mergeCell ref="U19:U20"/>
    <mergeCell ref="V19:W22"/>
    <mergeCell ref="S21:T22"/>
    <mergeCell ref="U21:U22"/>
    <mergeCell ref="T14:T15"/>
    <mergeCell ref="U14:U15"/>
    <mergeCell ref="W14:W15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1:AD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8" customWidth="1"/>
    <col min="4" max="9" width="25.85546875" customWidth="1"/>
    <col min="10" max="10" width="5.85546875" customWidth="1"/>
    <col min="11" max="15" width="25.85546875" customWidth="1"/>
    <col min="16" max="16" width="5.85546875" customWidth="1"/>
    <col min="17" max="19" width="25.85546875" customWidth="1"/>
  </cols>
  <sheetData>
    <row r="1" spans="2:30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2:30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2:30" ht="54" customHeight="1">
      <c r="B3" s="173" t="s">
        <v>0</v>
      </c>
      <c r="C3" s="174"/>
      <c r="D3" s="174"/>
      <c r="E3" s="174"/>
      <c r="F3" s="174"/>
      <c r="G3" s="174"/>
      <c r="H3" s="174"/>
      <c r="I3" s="174"/>
      <c r="J3" s="174"/>
      <c r="K3" s="174"/>
      <c r="L3" s="217" t="s">
        <v>41</v>
      </c>
      <c r="M3" s="174"/>
      <c r="N3" s="174"/>
      <c r="O3" s="174"/>
      <c r="P3" s="174"/>
      <c r="Q3" s="174"/>
      <c r="R3" s="174"/>
      <c r="S3" s="174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2:30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2:30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2:30" ht="31.5" customHeight="1">
      <c r="B6" s="176" t="s">
        <v>2</v>
      </c>
      <c r="C6" s="177"/>
      <c r="D6" s="178"/>
      <c r="E6" s="143"/>
      <c r="F6" s="33"/>
      <c r="G6" s="26"/>
      <c r="H6" s="34"/>
      <c r="I6" s="3"/>
      <c r="J6" s="3"/>
      <c r="K6" s="176" t="s">
        <v>3</v>
      </c>
      <c r="L6" s="177"/>
      <c r="M6" s="179" t="s">
        <v>42</v>
      </c>
      <c r="N6" s="143"/>
      <c r="O6" s="3"/>
      <c r="P6" s="3"/>
      <c r="Q6" s="3"/>
      <c r="R6" s="4" t="s">
        <v>5</v>
      </c>
      <c r="S6" s="5">
        <f ca="1">TODAY()</f>
        <v>45987</v>
      </c>
      <c r="T6" s="180"/>
      <c r="U6" s="174"/>
      <c r="V6" s="1"/>
      <c r="W6" s="1"/>
      <c r="X6" s="1"/>
      <c r="Y6" s="1"/>
      <c r="Z6" s="1"/>
      <c r="AA6" s="1"/>
      <c r="AB6" s="1"/>
      <c r="AC6" s="1"/>
      <c r="AD6" s="1"/>
    </row>
    <row r="7" spans="2:30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2:30" ht="31.5" customHeight="1">
      <c r="B8" s="142" t="s">
        <v>50</v>
      </c>
      <c r="C8" s="145"/>
      <c r="D8" s="145"/>
      <c r="E8" s="145"/>
      <c r="F8" s="145"/>
      <c r="G8" s="145"/>
      <c r="H8" s="145"/>
      <c r="I8" s="143"/>
      <c r="J8" s="6"/>
      <c r="K8" s="156" t="s">
        <v>7</v>
      </c>
      <c r="L8" s="145"/>
      <c r="M8" s="145"/>
      <c r="N8" s="145"/>
      <c r="O8" s="143"/>
      <c r="P8" s="6"/>
      <c r="Q8" s="176" t="s">
        <v>8</v>
      </c>
      <c r="R8" s="145"/>
      <c r="S8" s="143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2:30" ht="31.5" customHeight="1">
      <c r="B9" s="7" t="s">
        <v>9</v>
      </c>
      <c r="C9" s="8" t="s">
        <v>10</v>
      </c>
      <c r="D9" s="9" t="s">
        <v>51</v>
      </c>
      <c r="E9" s="9" t="s">
        <v>52</v>
      </c>
      <c r="F9" s="9" t="s">
        <v>67</v>
      </c>
      <c r="G9" s="9" t="s">
        <v>68</v>
      </c>
      <c r="H9" s="9" t="s">
        <v>12</v>
      </c>
      <c r="I9" s="9" t="s">
        <v>13</v>
      </c>
      <c r="J9" s="10"/>
      <c r="K9" s="9" t="s">
        <v>69</v>
      </c>
      <c r="L9" s="9" t="s">
        <v>15</v>
      </c>
      <c r="M9" s="9" t="s">
        <v>16</v>
      </c>
      <c r="N9" s="9" t="s">
        <v>17</v>
      </c>
      <c r="O9" s="9" t="s">
        <v>13</v>
      </c>
      <c r="P9" s="10"/>
      <c r="Q9" s="215"/>
      <c r="R9" s="143"/>
      <c r="S9" s="35" t="s">
        <v>13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2:30" ht="31.5" customHeight="1">
      <c r="B10" s="165">
        <v>1</v>
      </c>
      <c r="C10" s="158"/>
      <c r="D10" s="159">
        <v>190</v>
      </c>
      <c r="E10" s="159">
        <v>190</v>
      </c>
      <c r="F10" s="238" t="s">
        <v>58</v>
      </c>
      <c r="G10" s="159">
        <v>450</v>
      </c>
      <c r="H10" s="160">
        <v>0.5</v>
      </c>
      <c r="I10" s="159">
        <f>(G10*H10)+G10+E10+D10</f>
        <v>1055</v>
      </c>
      <c r="J10" s="12"/>
      <c r="K10" s="159">
        <v>1330</v>
      </c>
      <c r="L10" s="159">
        <v>1330</v>
      </c>
      <c r="M10" s="159">
        <v>1330</v>
      </c>
      <c r="N10" s="159">
        <v>760</v>
      </c>
      <c r="O10" s="159">
        <f>SUM(K10:N10)</f>
        <v>4750</v>
      </c>
      <c r="P10" s="12"/>
      <c r="Q10" s="226" t="s">
        <v>59</v>
      </c>
      <c r="R10" s="127"/>
      <c r="S10" s="227">
        <f>I14</f>
        <v>2335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2:30" ht="31.5" customHeight="1">
      <c r="B11" s="147"/>
      <c r="C11" s="147"/>
      <c r="D11" s="147"/>
      <c r="E11" s="147"/>
      <c r="F11" s="147"/>
      <c r="G11" s="147"/>
      <c r="H11" s="147"/>
      <c r="I11" s="147"/>
      <c r="J11" s="12"/>
      <c r="K11" s="147"/>
      <c r="L11" s="147"/>
      <c r="M11" s="147"/>
      <c r="N11" s="147"/>
      <c r="O11" s="147"/>
      <c r="P11" s="12"/>
      <c r="Q11" s="128"/>
      <c r="R11" s="129"/>
      <c r="S11" s="147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2:30" ht="31.5" customHeight="1">
      <c r="B12" s="167">
        <v>2</v>
      </c>
      <c r="C12" s="167"/>
      <c r="D12" s="168">
        <v>190</v>
      </c>
      <c r="E12" s="168">
        <v>190</v>
      </c>
      <c r="F12" s="239" t="s">
        <v>58</v>
      </c>
      <c r="G12" s="168">
        <v>450</v>
      </c>
      <c r="H12" s="169">
        <v>1</v>
      </c>
      <c r="I12" s="168">
        <f>(G12*H12)+G12+E12+D12</f>
        <v>1280</v>
      </c>
      <c r="J12" s="12"/>
      <c r="K12" s="151"/>
      <c r="L12" s="151"/>
      <c r="M12" s="168"/>
      <c r="N12" s="151"/>
      <c r="O12" s="168">
        <f>SUM(K12:N12)</f>
        <v>0</v>
      </c>
      <c r="P12" s="12"/>
      <c r="Q12" s="226" t="s">
        <v>21</v>
      </c>
      <c r="R12" s="127"/>
      <c r="S12" s="228">
        <f>O14</f>
        <v>4750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2:30" ht="31.5" customHeight="1">
      <c r="B13" s="147"/>
      <c r="C13" s="147"/>
      <c r="D13" s="147"/>
      <c r="E13" s="147"/>
      <c r="F13" s="147"/>
      <c r="G13" s="147"/>
      <c r="H13" s="147"/>
      <c r="I13" s="147"/>
      <c r="J13" s="12"/>
      <c r="K13" s="147"/>
      <c r="L13" s="147"/>
      <c r="M13" s="147"/>
      <c r="N13" s="147"/>
      <c r="O13" s="147"/>
      <c r="P13" s="12"/>
      <c r="Q13" s="128"/>
      <c r="R13" s="129"/>
      <c r="S13" s="147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2:30" ht="31.5" customHeight="1">
      <c r="B14" s="170" t="s">
        <v>59</v>
      </c>
      <c r="C14" s="145"/>
      <c r="D14" s="145"/>
      <c r="E14" s="145"/>
      <c r="F14" s="145"/>
      <c r="G14" s="145"/>
      <c r="H14" s="143"/>
      <c r="I14" s="36">
        <f>SUM(I10:I13)</f>
        <v>2335</v>
      </c>
      <c r="J14" s="13"/>
      <c r="K14" s="164" t="s">
        <v>21</v>
      </c>
      <c r="L14" s="145"/>
      <c r="M14" s="145"/>
      <c r="N14" s="143"/>
      <c r="O14" s="15">
        <f>SUM(O10:O13)</f>
        <v>4750</v>
      </c>
      <c r="P14" s="13"/>
      <c r="Q14" s="203" t="s">
        <v>25</v>
      </c>
      <c r="R14" s="143"/>
      <c r="S14" s="37">
        <f>SUM(S10:S13)</f>
        <v>7085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2:30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2:30" ht="31.5" customHeight="1">
      <c r="B16" s="142" t="s">
        <v>26</v>
      </c>
      <c r="C16" s="145"/>
      <c r="D16" s="143"/>
      <c r="E16" s="17" t="s">
        <v>9</v>
      </c>
      <c r="F16" s="142" t="s">
        <v>27</v>
      </c>
      <c r="G16" s="145"/>
      <c r="H16" s="145"/>
      <c r="I16" s="143"/>
      <c r="J16" s="6"/>
      <c r="K16" s="237" t="s">
        <v>26</v>
      </c>
      <c r="L16" s="222"/>
      <c r="M16" s="38" t="s">
        <v>9</v>
      </c>
      <c r="N16" s="237" t="s">
        <v>27</v>
      </c>
      <c r="O16" s="222"/>
      <c r="P16" s="6"/>
      <c r="Q16" s="220" t="s">
        <v>28</v>
      </c>
      <c r="R16" s="221"/>
      <c r="S16" s="222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2:30" ht="31.5" customHeight="1">
      <c r="B17" s="161" t="s">
        <v>60</v>
      </c>
      <c r="C17" s="139"/>
      <c r="D17" s="127"/>
      <c r="E17" s="146">
        <f>COUNT(B10:B13)</f>
        <v>2</v>
      </c>
      <c r="F17" s="236" t="s">
        <v>61</v>
      </c>
      <c r="G17" s="139"/>
      <c r="H17" s="139"/>
      <c r="I17" s="127"/>
      <c r="J17" s="19"/>
      <c r="K17" s="233" t="s">
        <v>69</v>
      </c>
      <c r="L17" s="182"/>
      <c r="M17" s="199">
        <f>COUNT(K10:K13)</f>
        <v>1</v>
      </c>
      <c r="N17" s="192" t="s">
        <v>32</v>
      </c>
      <c r="O17" s="187"/>
      <c r="P17" s="19"/>
      <c r="Q17" s="223"/>
      <c r="R17" s="224"/>
      <c r="S17" s="187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2:30" ht="31.5" customHeight="1">
      <c r="B18" s="128"/>
      <c r="C18" s="140"/>
      <c r="D18" s="129"/>
      <c r="E18" s="147"/>
      <c r="F18" s="149"/>
      <c r="G18" s="174"/>
      <c r="H18" s="174"/>
      <c r="I18" s="150"/>
      <c r="J18" s="19"/>
      <c r="K18" s="183"/>
      <c r="L18" s="184"/>
      <c r="M18" s="191"/>
      <c r="N18" s="193"/>
      <c r="O18" s="150"/>
      <c r="P18" s="19"/>
      <c r="Q18" s="183"/>
      <c r="R18" s="225"/>
      <c r="S18" s="195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2:30" ht="31.5" customHeight="1">
      <c r="B19" s="162" t="s">
        <v>52</v>
      </c>
      <c r="C19" s="139"/>
      <c r="D19" s="127"/>
      <c r="E19" s="152">
        <f>COUNT(B10:B13)</f>
        <v>2</v>
      </c>
      <c r="F19" s="149"/>
      <c r="G19" s="174"/>
      <c r="H19" s="174"/>
      <c r="I19" s="150"/>
      <c r="J19" s="19"/>
      <c r="K19" s="234" t="s">
        <v>15</v>
      </c>
      <c r="L19" s="182"/>
      <c r="M19" s="197">
        <f>COUNT(L10:L13)</f>
        <v>1</v>
      </c>
      <c r="N19" s="193"/>
      <c r="O19" s="150"/>
      <c r="P19" s="19"/>
      <c r="Q19" s="229"/>
      <c r="R19" s="224"/>
      <c r="S19" s="187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2:30" ht="31.5" customHeight="1">
      <c r="B20" s="128"/>
      <c r="C20" s="140"/>
      <c r="D20" s="129"/>
      <c r="E20" s="147"/>
      <c r="F20" s="128"/>
      <c r="G20" s="140"/>
      <c r="H20" s="140"/>
      <c r="I20" s="129"/>
      <c r="J20" s="19"/>
      <c r="K20" s="183"/>
      <c r="L20" s="184"/>
      <c r="M20" s="191"/>
      <c r="N20" s="194"/>
      <c r="O20" s="195"/>
      <c r="P20" s="19"/>
      <c r="Q20" s="183"/>
      <c r="R20" s="225"/>
      <c r="S20" s="195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2:30" ht="31.5" customHeight="1">
      <c r="B21" s="161" t="s">
        <v>35</v>
      </c>
      <c r="C21" s="139"/>
      <c r="D21" s="127"/>
      <c r="E21" s="146">
        <v>0</v>
      </c>
      <c r="F21" s="208" t="s">
        <v>65</v>
      </c>
      <c r="G21" s="139"/>
      <c r="H21" s="139"/>
      <c r="I21" s="127"/>
      <c r="J21" s="19"/>
      <c r="K21" s="233" t="s">
        <v>16</v>
      </c>
      <c r="L21" s="182"/>
      <c r="M21" s="199">
        <f>COUNT(M10:M13)</f>
        <v>1</v>
      </c>
      <c r="N21" s="186" t="s">
        <v>37</v>
      </c>
      <c r="O21" s="224"/>
      <c r="P21" s="20"/>
      <c r="Q21" s="230"/>
      <c r="R21" s="224"/>
      <c r="S21" s="187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2:30" ht="31.5" customHeight="1">
      <c r="B22" s="128"/>
      <c r="C22" s="140"/>
      <c r="D22" s="129"/>
      <c r="E22" s="147"/>
      <c r="F22" s="149"/>
      <c r="G22" s="174"/>
      <c r="H22" s="174"/>
      <c r="I22" s="150"/>
      <c r="J22" s="19"/>
      <c r="K22" s="183"/>
      <c r="L22" s="184"/>
      <c r="M22" s="191"/>
      <c r="N22" s="174"/>
      <c r="O22" s="174"/>
      <c r="P22" s="20"/>
      <c r="Q22" s="183"/>
      <c r="R22" s="225"/>
      <c r="S22" s="195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2:30" ht="31.5" customHeight="1">
      <c r="B23" s="162" t="s">
        <v>38</v>
      </c>
      <c r="C23" s="139"/>
      <c r="D23" s="127"/>
      <c r="E23" s="152">
        <v>0</v>
      </c>
      <c r="F23" s="149"/>
      <c r="G23" s="174"/>
      <c r="H23" s="174"/>
      <c r="I23" s="150"/>
      <c r="J23" s="19"/>
      <c r="K23" s="234" t="s">
        <v>17</v>
      </c>
      <c r="L23" s="182"/>
      <c r="M23" s="235">
        <f>COUNT(N10:N13)</f>
        <v>1</v>
      </c>
      <c r="N23" s="174"/>
      <c r="O23" s="174"/>
      <c r="P23" s="20"/>
      <c r="Q23" s="231"/>
      <c r="R23" s="224"/>
      <c r="S23" s="187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2:30" ht="31.5" customHeight="1">
      <c r="B24" s="128"/>
      <c r="C24" s="140"/>
      <c r="D24" s="129"/>
      <c r="E24" s="147"/>
      <c r="F24" s="128"/>
      <c r="G24" s="140"/>
      <c r="H24" s="140"/>
      <c r="I24" s="129"/>
      <c r="J24" s="39"/>
      <c r="K24" s="183"/>
      <c r="L24" s="184"/>
      <c r="M24" s="191"/>
      <c r="N24" s="174"/>
      <c r="O24" s="174"/>
      <c r="P24" s="20"/>
      <c r="Q24" s="183"/>
      <c r="R24" s="225"/>
      <c r="S24" s="195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2:30" ht="31.5" customHeight="1">
      <c r="B25" s="161" t="s">
        <v>39</v>
      </c>
      <c r="C25" s="139"/>
      <c r="D25" s="127"/>
      <c r="E25" s="151">
        <f>COUNT(B10:B13)</f>
        <v>2</v>
      </c>
      <c r="F25" s="208" t="s">
        <v>70</v>
      </c>
      <c r="G25" s="139"/>
      <c r="H25" s="139"/>
      <c r="I25" s="127"/>
      <c r="J25" s="39"/>
      <c r="K25" s="233" t="s">
        <v>40</v>
      </c>
      <c r="L25" s="182"/>
      <c r="M25" s="199">
        <v>0</v>
      </c>
      <c r="N25" s="174"/>
      <c r="O25" s="174"/>
      <c r="P25" s="40"/>
      <c r="Q25" s="230"/>
      <c r="R25" s="224"/>
      <c r="S25" s="187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2:30" ht="31.5" customHeight="1">
      <c r="B26" s="128"/>
      <c r="C26" s="140"/>
      <c r="D26" s="129"/>
      <c r="E26" s="147"/>
      <c r="F26" s="128"/>
      <c r="G26" s="140"/>
      <c r="H26" s="140"/>
      <c r="I26" s="129"/>
      <c r="J26" s="39"/>
      <c r="K26" s="128"/>
      <c r="L26" s="198"/>
      <c r="M26" s="200"/>
      <c r="N26" s="140"/>
      <c r="O26" s="140"/>
      <c r="P26" s="40"/>
      <c r="Q26" s="128"/>
      <c r="R26" s="140"/>
      <c r="S26" s="129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2:30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2:30" ht="31.5" customHeight="1">
      <c r="B28" s="232"/>
      <c r="C28" s="174"/>
      <c r="D28" s="174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2:30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2: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2:30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2:30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2:30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2:30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2:30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2:30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2:30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2:30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2:30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2:3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2:30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2:30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2:30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2:30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2:30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2:30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2:30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2:30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2:30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2:3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2:30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2:30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2:30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2:30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2:30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2:30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2:30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2:30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2:30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2:3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2:30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2:30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2:30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2:30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2:30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2:30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2:30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2:30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2:30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2:3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2:30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2:30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2:30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2:30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2:30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2:30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2:30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2:30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2:30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2:3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2:30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2:30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2:30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2:30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2:30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2:30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2:30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2:30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2:30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2:3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2:30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2:30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2:30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2:30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2:30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2:30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2:30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2:30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2:30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2:3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2:30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2:30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2:30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2:30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2:30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2:30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2:30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2:30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2:30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2:3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2:30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2:30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2:30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2:30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2:30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2:30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2:30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2:30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2:30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2:3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2:30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2:30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2:30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2:30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2:30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2:30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2:30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2:30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2:30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2: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2:30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2:30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2:30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2:30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2:30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2:30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2:30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2:30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2:30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2:3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2:30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2:30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2:30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2:30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2:30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2:30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2:30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2:30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2:30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2:3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2:30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2:30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2:30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2:30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2:30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2:30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2:30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2:30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2:30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2:3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2:30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2:30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2:30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2:30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2:30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2:30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2:30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2:30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2:30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2:3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2:30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2:30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2:30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2:30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2:30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2:30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2:30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2:30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2:30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2:3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2:30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2:30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2:30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2:30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2:30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2:30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2:30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2:30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2:30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2:3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2:30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2:30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2:30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2:30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2:30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2:30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2:30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2:30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2:30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2:3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2:30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2:30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2:30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2:30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2:30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2:30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2:30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2:30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2:30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2:3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2:30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2:30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2:30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2:30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2:30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2:30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2:30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2:30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2:30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2:3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2:30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2:30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2:30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2:30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2:30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2:30" ht="15.75" customHeight="1"/>
    <row r="227" spans="2:30" ht="15.75" customHeight="1"/>
    <row r="228" spans="2:30" ht="15.75" customHeight="1"/>
    <row r="229" spans="2:30" ht="15.75" customHeight="1"/>
    <row r="230" spans="2:30" ht="15.75" customHeight="1"/>
    <row r="231" spans="2:30" ht="15.75" customHeight="1"/>
    <row r="232" spans="2:30" ht="15.75" customHeight="1"/>
    <row r="233" spans="2:30" ht="15.75" customHeight="1"/>
    <row r="234" spans="2:30" ht="15.75" customHeight="1"/>
    <row r="235" spans="2:30" ht="15.75" customHeight="1"/>
    <row r="236" spans="2:30" ht="15.75" customHeight="1"/>
    <row r="237" spans="2:30" ht="15.75" customHeight="1"/>
    <row r="238" spans="2:30" ht="15.75" customHeight="1"/>
    <row r="239" spans="2:30" ht="15.75" customHeight="1"/>
    <row r="240" spans="2:3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0">
    <mergeCell ref="G10:G11"/>
    <mergeCell ref="H10:H11"/>
    <mergeCell ref="G12:G13"/>
    <mergeCell ref="H12:H13"/>
    <mergeCell ref="I12:I13"/>
    <mergeCell ref="E10:E11"/>
    <mergeCell ref="F10:F11"/>
    <mergeCell ref="B12:B13"/>
    <mergeCell ref="C12:C13"/>
    <mergeCell ref="E12:E13"/>
    <mergeCell ref="F12:F13"/>
    <mergeCell ref="B10:B11"/>
    <mergeCell ref="C10:C11"/>
    <mergeCell ref="D10:D11"/>
    <mergeCell ref="D12:D13"/>
    <mergeCell ref="F25:I26"/>
    <mergeCell ref="N21:O26"/>
    <mergeCell ref="B14:H14"/>
    <mergeCell ref="B17:D18"/>
    <mergeCell ref="E17:E18"/>
    <mergeCell ref="F17:I20"/>
    <mergeCell ref="M17:M18"/>
    <mergeCell ref="B19:D20"/>
    <mergeCell ref="K14:N14"/>
    <mergeCell ref="K16:L16"/>
    <mergeCell ref="N16:O16"/>
    <mergeCell ref="B16:D16"/>
    <mergeCell ref="F16:I16"/>
    <mergeCell ref="K17:L18"/>
    <mergeCell ref="K19:L20"/>
    <mergeCell ref="K21:L22"/>
    <mergeCell ref="M21:M22"/>
    <mergeCell ref="K23:L24"/>
    <mergeCell ref="M23:M24"/>
    <mergeCell ref="M19:M20"/>
    <mergeCell ref="B3:K3"/>
    <mergeCell ref="L3:S3"/>
    <mergeCell ref="B6:C6"/>
    <mergeCell ref="D6:E6"/>
    <mergeCell ref="K6:L6"/>
    <mergeCell ref="M6:N6"/>
    <mergeCell ref="T6:U6"/>
    <mergeCell ref="I10:I11"/>
    <mergeCell ref="K10:K11"/>
    <mergeCell ref="K12:K13"/>
    <mergeCell ref="L10:L11"/>
    <mergeCell ref="M10:M11"/>
    <mergeCell ref="L12:L13"/>
    <mergeCell ref="M12:M13"/>
    <mergeCell ref="N10:N11"/>
    <mergeCell ref="O10:O11"/>
    <mergeCell ref="N12:N13"/>
    <mergeCell ref="O12:O13"/>
    <mergeCell ref="B8:I8"/>
    <mergeCell ref="K8:O8"/>
    <mergeCell ref="Q8:S8"/>
    <mergeCell ref="Q9:R9"/>
    <mergeCell ref="Q19:S20"/>
    <mergeCell ref="Q21:S22"/>
    <mergeCell ref="Q23:S24"/>
    <mergeCell ref="Q25:S26"/>
    <mergeCell ref="B28:S28"/>
    <mergeCell ref="B25:D26"/>
    <mergeCell ref="K25:L26"/>
    <mergeCell ref="M25:M26"/>
    <mergeCell ref="B21:D22"/>
    <mergeCell ref="E21:E22"/>
    <mergeCell ref="F21:I24"/>
    <mergeCell ref="B23:D24"/>
    <mergeCell ref="E23:E24"/>
    <mergeCell ref="N17:O20"/>
    <mergeCell ref="E19:E20"/>
    <mergeCell ref="E25:E26"/>
    <mergeCell ref="Q16:S16"/>
    <mergeCell ref="Q17:S18"/>
    <mergeCell ref="Q10:R11"/>
    <mergeCell ref="S10:S11"/>
    <mergeCell ref="Q12:R13"/>
    <mergeCell ref="S12:S13"/>
    <mergeCell ref="Q14:R14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.5703125" customWidth="1"/>
    <col min="4" max="4" width="25.85546875" customWidth="1"/>
    <col min="5" max="5" width="23.85546875" customWidth="1"/>
    <col min="6" max="6" width="15.140625" customWidth="1"/>
    <col min="7" max="7" width="31.85546875" customWidth="1"/>
    <col min="8" max="8" width="36.140625" customWidth="1"/>
    <col min="9" max="9" width="24" customWidth="1"/>
    <col min="10" max="10" width="25.85546875" customWidth="1"/>
    <col min="11" max="11" width="5.85546875" customWidth="1"/>
    <col min="12" max="14" width="25.85546875" customWidth="1"/>
  </cols>
  <sheetData>
    <row r="1" spans="2:25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2:25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54" customHeight="1">
      <c r="B3" s="173" t="s">
        <v>0</v>
      </c>
      <c r="C3" s="174"/>
      <c r="D3" s="174"/>
      <c r="E3" s="174"/>
      <c r="F3" s="174"/>
      <c r="G3" s="174"/>
      <c r="H3" s="175" t="s">
        <v>41</v>
      </c>
      <c r="I3" s="174"/>
      <c r="J3" s="174"/>
      <c r="K3" s="174"/>
      <c r="L3" s="174"/>
      <c r="M3" s="174"/>
      <c r="N3" s="174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31.5" customHeight="1">
      <c r="B6" s="176" t="s">
        <v>2</v>
      </c>
      <c r="C6" s="177"/>
      <c r="D6" s="178"/>
      <c r="E6" s="143"/>
      <c r="F6" s="33"/>
      <c r="G6" s="26"/>
      <c r="H6" s="27"/>
      <c r="I6" s="27"/>
      <c r="J6" s="3"/>
      <c r="K6" s="3"/>
      <c r="L6" s="3"/>
      <c r="M6" s="4" t="s">
        <v>5</v>
      </c>
      <c r="N6" s="5">
        <f ca="1">TODAY()</f>
        <v>45987</v>
      </c>
      <c r="O6" s="180"/>
      <c r="P6" s="174"/>
      <c r="Q6" s="1"/>
      <c r="R6" s="1"/>
      <c r="S6" s="1"/>
      <c r="T6" s="1"/>
      <c r="U6" s="1"/>
      <c r="V6" s="1"/>
      <c r="W6" s="1"/>
      <c r="X6" s="1"/>
      <c r="Y6" s="1"/>
    </row>
    <row r="7" spans="2:25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31.5" customHeight="1">
      <c r="B8" s="142" t="s">
        <v>71</v>
      </c>
      <c r="C8" s="145"/>
      <c r="D8" s="145"/>
      <c r="E8" s="145"/>
      <c r="F8" s="145"/>
      <c r="G8" s="145"/>
      <c r="H8" s="145"/>
      <c r="I8" s="145"/>
      <c r="J8" s="143"/>
      <c r="K8" s="6"/>
      <c r="L8" s="220" t="s">
        <v>8</v>
      </c>
      <c r="M8" s="221"/>
      <c r="N8" s="222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31.5" customHeight="1">
      <c r="B9" s="7" t="s">
        <v>9</v>
      </c>
      <c r="C9" s="8" t="s">
        <v>72</v>
      </c>
      <c r="D9" s="9" t="s">
        <v>73</v>
      </c>
      <c r="E9" s="242" t="s">
        <v>12</v>
      </c>
      <c r="F9" s="143"/>
      <c r="G9" s="9" t="s">
        <v>74</v>
      </c>
      <c r="H9" s="9" t="s">
        <v>13</v>
      </c>
      <c r="I9" s="9" t="s">
        <v>75</v>
      </c>
      <c r="J9" s="9" t="s">
        <v>13</v>
      </c>
      <c r="K9" s="10"/>
      <c r="L9" s="215"/>
      <c r="M9" s="143"/>
      <c r="N9" s="35" t="s">
        <v>13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ht="31.5" customHeight="1">
      <c r="B10" s="165">
        <v>1</v>
      </c>
      <c r="C10" s="158" t="s">
        <v>76</v>
      </c>
      <c r="D10" s="159">
        <v>450</v>
      </c>
      <c r="E10" s="243"/>
      <c r="F10" s="127"/>
      <c r="G10" s="154">
        <v>2</v>
      </c>
      <c r="H10" s="159">
        <f>G10*D10</f>
        <v>900</v>
      </c>
      <c r="I10" s="160"/>
      <c r="J10" s="159">
        <f>(H10*E10)+H10</f>
        <v>900</v>
      </c>
      <c r="K10" s="12"/>
      <c r="L10" s="226" t="s">
        <v>77</v>
      </c>
      <c r="M10" s="127"/>
      <c r="N10" s="227">
        <f>J14</f>
        <v>1350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ht="31.5" customHeight="1">
      <c r="B11" s="147"/>
      <c r="C11" s="147"/>
      <c r="D11" s="147"/>
      <c r="E11" s="128"/>
      <c r="F11" s="129"/>
      <c r="G11" s="147"/>
      <c r="H11" s="147"/>
      <c r="I11" s="147"/>
      <c r="J11" s="147"/>
      <c r="K11" s="12"/>
      <c r="L11" s="149"/>
      <c r="M11" s="150"/>
      <c r="N11" s="240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ht="31.5" customHeight="1">
      <c r="B12" s="167">
        <v>2</v>
      </c>
      <c r="C12" s="167"/>
      <c r="D12" s="168">
        <v>450</v>
      </c>
      <c r="E12" s="241"/>
      <c r="F12" s="127"/>
      <c r="G12" s="151">
        <v>1</v>
      </c>
      <c r="H12" s="168">
        <f>G12*D12</f>
        <v>450</v>
      </c>
      <c r="I12" s="169"/>
      <c r="J12" s="168">
        <f>(H12*E12)+H12</f>
        <v>450</v>
      </c>
      <c r="K12" s="12"/>
      <c r="L12" s="149"/>
      <c r="M12" s="150"/>
      <c r="N12" s="240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ht="31.5" customHeight="1">
      <c r="B13" s="147"/>
      <c r="C13" s="147"/>
      <c r="D13" s="147"/>
      <c r="E13" s="128"/>
      <c r="F13" s="129"/>
      <c r="G13" s="147"/>
      <c r="H13" s="147"/>
      <c r="I13" s="147"/>
      <c r="J13" s="147"/>
      <c r="K13" s="12"/>
      <c r="L13" s="128"/>
      <c r="M13" s="129"/>
      <c r="N13" s="147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ht="31.5" customHeight="1">
      <c r="B14" s="170" t="s">
        <v>59</v>
      </c>
      <c r="C14" s="145"/>
      <c r="D14" s="145"/>
      <c r="E14" s="145"/>
      <c r="F14" s="145"/>
      <c r="G14" s="145"/>
      <c r="H14" s="143"/>
      <c r="I14" s="42"/>
      <c r="J14" s="36">
        <f>SUM(J10:J13)</f>
        <v>1350</v>
      </c>
      <c r="K14" s="13"/>
      <c r="L14" s="203" t="s">
        <v>25</v>
      </c>
      <c r="M14" s="143"/>
      <c r="N14" s="37">
        <f>SUM(N10:N13)</f>
        <v>1350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ht="31.5" customHeight="1">
      <c r="B16" s="142" t="s">
        <v>26</v>
      </c>
      <c r="C16" s="145"/>
      <c r="D16" s="143"/>
      <c r="E16" s="17" t="s">
        <v>9</v>
      </c>
      <c r="F16" s="142" t="s">
        <v>27</v>
      </c>
      <c r="G16" s="145"/>
      <c r="H16" s="145"/>
      <c r="I16" s="145"/>
      <c r="J16" s="143"/>
      <c r="K16" s="6"/>
      <c r="L16" s="220" t="s">
        <v>28</v>
      </c>
      <c r="M16" s="221"/>
      <c r="N16" s="222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ht="31.5" customHeight="1">
      <c r="B17" s="161" t="s">
        <v>51</v>
      </c>
      <c r="C17" s="139"/>
      <c r="D17" s="127"/>
      <c r="E17" s="146">
        <v>0</v>
      </c>
      <c r="F17" s="211" t="s">
        <v>61</v>
      </c>
      <c r="G17" s="139"/>
      <c r="H17" s="139"/>
      <c r="I17" s="139"/>
      <c r="J17" s="127"/>
      <c r="K17" s="19"/>
      <c r="L17" s="223"/>
      <c r="M17" s="224"/>
      <c r="N17" s="187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ht="31.5" customHeight="1">
      <c r="B18" s="128"/>
      <c r="C18" s="140"/>
      <c r="D18" s="129"/>
      <c r="E18" s="147"/>
      <c r="F18" s="149"/>
      <c r="G18" s="174"/>
      <c r="H18" s="174"/>
      <c r="I18" s="174"/>
      <c r="J18" s="150"/>
      <c r="K18" s="19"/>
      <c r="L18" s="183"/>
      <c r="M18" s="225"/>
      <c r="N18" s="195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ht="31.5" customHeight="1">
      <c r="B19" s="162" t="s">
        <v>78</v>
      </c>
      <c r="C19" s="139"/>
      <c r="D19" s="127"/>
      <c r="E19" s="152">
        <v>0</v>
      </c>
      <c r="F19" s="149"/>
      <c r="G19" s="174"/>
      <c r="H19" s="174"/>
      <c r="I19" s="174"/>
      <c r="J19" s="150"/>
      <c r="K19" s="19"/>
      <c r="L19" s="229"/>
      <c r="M19" s="224"/>
      <c r="N19" s="187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ht="31.5" customHeight="1">
      <c r="B20" s="128"/>
      <c r="C20" s="140"/>
      <c r="D20" s="129"/>
      <c r="E20" s="147"/>
      <c r="F20" s="128"/>
      <c r="G20" s="140"/>
      <c r="H20" s="140"/>
      <c r="I20" s="140"/>
      <c r="J20" s="129"/>
      <c r="K20" s="19"/>
      <c r="L20" s="183"/>
      <c r="M20" s="225"/>
      <c r="N20" s="195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ht="31.5" customHeight="1">
      <c r="B21" s="161" t="s">
        <v>35</v>
      </c>
      <c r="C21" s="139"/>
      <c r="D21" s="127"/>
      <c r="E21" s="146">
        <v>0</v>
      </c>
      <c r="F21" s="208" t="s">
        <v>65</v>
      </c>
      <c r="G21" s="139"/>
      <c r="H21" s="139"/>
      <c r="I21" s="139"/>
      <c r="J21" s="127"/>
      <c r="K21" s="19"/>
      <c r="L21" s="230"/>
      <c r="M21" s="224"/>
      <c r="N21" s="187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ht="31.5" customHeight="1">
      <c r="B22" s="128"/>
      <c r="C22" s="140"/>
      <c r="D22" s="129"/>
      <c r="E22" s="147"/>
      <c r="F22" s="149"/>
      <c r="G22" s="174"/>
      <c r="H22" s="174"/>
      <c r="I22" s="174"/>
      <c r="J22" s="150"/>
      <c r="K22" s="19"/>
      <c r="L22" s="183"/>
      <c r="M22" s="225"/>
      <c r="N22" s="195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ht="31.5" customHeight="1">
      <c r="B23" s="162" t="s">
        <v>38</v>
      </c>
      <c r="C23" s="139"/>
      <c r="D23" s="127"/>
      <c r="E23" s="152">
        <v>0</v>
      </c>
      <c r="F23" s="149"/>
      <c r="G23" s="174"/>
      <c r="H23" s="174"/>
      <c r="I23" s="174"/>
      <c r="J23" s="150"/>
      <c r="K23" s="19"/>
      <c r="L23" s="231"/>
      <c r="M23" s="224"/>
      <c r="N23" s="187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ht="31.5" customHeight="1">
      <c r="B24" s="128"/>
      <c r="C24" s="140"/>
      <c r="D24" s="129"/>
      <c r="E24" s="147"/>
      <c r="F24" s="128"/>
      <c r="G24" s="140"/>
      <c r="H24" s="140"/>
      <c r="I24" s="140"/>
      <c r="J24" s="129"/>
      <c r="K24" s="39"/>
      <c r="L24" s="183"/>
      <c r="M24" s="225"/>
      <c r="N24" s="195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ht="31.5" customHeight="1">
      <c r="B25" s="161" t="s">
        <v>39</v>
      </c>
      <c r="C25" s="139"/>
      <c r="D25" s="127"/>
      <c r="E25" s="151">
        <v>0</v>
      </c>
      <c r="F25" s="208" t="s">
        <v>70</v>
      </c>
      <c r="G25" s="139"/>
      <c r="H25" s="139"/>
      <c r="I25" s="139"/>
      <c r="J25" s="127"/>
      <c r="K25" s="39"/>
      <c r="L25" s="230"/>
      <c r="M25" s="224"/>
      <c r="N25" s="187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ht="31.5" customHeight="1">
      <c r="B26" s="128"/>
      <c r="C26" s="140"/>
      <c r="D26" s="129"/>
      <c r="E26" s="147"/>
      <c r="F26" s="128"/>
      <c r="G26" s="140"/>
      <c r="H26" s="140"/>
      <c r="I26" s="140"/>
      <c r="J26" s="129"/>
      <c r="K26" s="39"/>
      <c r="L26" s="128"/>
      <c r="M26" s="140"/>
      <c r="N26" s="129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ht="31.5" customHeight="1"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2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ht="12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ht="12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ht="12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ht="12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ht="12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ht="12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ht="12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ht="12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ht="12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ht="12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ht="12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ht="12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ht="12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ht="12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ht="12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ht="12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ht="12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ht="12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ht="12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ht="12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ht="12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ht="12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ht="12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ht="12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ht="12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ht="12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ht="12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ht="12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ht="12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ht="12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ht="12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ht="12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ht="12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ht="12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ht="12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ht="12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ht="12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ht="12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ht="12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ht="12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ht="12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ht="12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ht="12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ht="12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ht="12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ht="12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ht="12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ht="12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ht="12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ht="12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ht="12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ht="12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ht="12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2:25" ht="12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2:25" ht="12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2:25" ht="12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2:25" ht="12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2:25" ht="12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2:25" ht="12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2:25" ht="12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2:25" ht="12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2:25" ht="12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2:25" ht="12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2:25" ht="12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2:25" ht="12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2:25" ht="12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2:25" ht="12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2:25" ht="12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2:25" ht="12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2:25" ht="12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2:25" ht="12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2:25" ht="12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2:25" ht="12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2:25" ht="12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2:25" ht="12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2:25" ht="12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2:25" ht="12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2:25" ht="12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2:25" ht="12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2:25" ht="12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2:25" ht="12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2:25" ht="12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2:25" ht="12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2:25" ht="12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2:25" ht="12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2:25" ht="12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2:25" ht="12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2:25" ht="12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2:25" ht="12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2:25" ht="12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2:25" ht="12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2:25" ht="12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2:25" ht="12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2:25" ht="12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2:25" ht="12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2:25" ht="12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2:25" ht="12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2:25" ht="12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2:25" ht="12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2:25" ht="12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2:25" ht="12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2:25" ht="12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2:25" ht="12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2:25" ht="12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2:25" ht="12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2:25" ht="12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2:25" ht="12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2:25" ht="12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2:25" ht="12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2:25" ht="12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2:25" ht="12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2:25" ht="12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2:25" ht="12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2:25" ht="12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2:25" ht="12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2:25" ht="12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2:25" ht="12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2:25" ht="12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2:25" ht="12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2:25" ht="12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2:25" ht="12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2:25" ht="12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2:25" ht="12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2:25" ht="12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2:25" ht="12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2:25" ht="12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2:25" ht="12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2:25" ht="12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2:25" ht="12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2:25" ht="12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2:25" ht="12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2:25" ht="12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2:25" ht="12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2:25" ht="12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2:25" ht="12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2:25" ht="12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2:25" ht="12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2:25" ht="12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2:25" ht="12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2:25" ht="12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2:25" ht="12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2:25" ht="12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2:25" ht="12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2:25" ht="12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2:25" ht="12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2:25" ht="12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2:25" ht="12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2:25" ht="12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2:25" ht="12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2:25" ht="12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2:25" ht="12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2:25" ht="12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2:25" ht="12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2:25" ht="12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2:25" ht="12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2:25" ht="12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2:25" ht="12.75" customHeight="1"/>
    <row r="227" spans="2:25" ht="12.75" customHeight="1"/>
    <row r="228" spans="2:25" ht="12.75" customHeight="1"/>
    <row r="229" spans="2:25" ht="12.75" customHeight="1"/>
    <row r="230" spans="2:25" ht="12.75" customHeight="1"/>
    <row r="231" spans="2:25" ht="12.75" customHeight="1"/>
    <row r="232" spans="2:25" ht="12.75" customHeight="1"/>
    <row r="233" spans="2:25" ht="12.75" customHeight="1"/>
    <row r="234" spans="2:25" ht="12.75" customHeight="1"/>
    <row r="235" spans="2:25" ht="12.75" customHeight="1"/>
    <row r="236" spans="2:25" ht="12.75" customHeight="1"/>
    <row r="237" spans="2:25" ht="12.75" customHeight="1"/>
    <row r="238" spans="2:25" ht="12.75" customHeight="1"/>
    <row r="239" spans="2:25" ht="12.75" customHeight="1"/>
    <row r="240" spans="2:25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0">
    <mergeCell ref="B3:G3"/>
    <mergeCell ref="H3:N3"/>
    <mergeCell ref="B6:C6"/>
    <mergeCell ref="D6:E6"/>
    <mergeCell ref="O6:P6"/>
    <mergeCell ref="B8:J8"/>
    <mergeCell ref="E9:F9"/>
    <mergeCell ref="C10:C11"/>
    <mergeCell ref="D10:D11"/>
    <mergeCell ref="E10:F11"/>
    <mergeCell ref="G10:G11"/>
    <mergeCell ref="H10:H11"/>
    <mergeCell ref="I10:I11"/>
    <mergeCell ref="J10:J11"/>
    <mergeCell ref="I12:I13"/>
    <mergeCell ref="J12:J13"/>
    <mergeCell ref="F16:J16"/>
    <mergeCell ref="F17:J20"/>
    <mergeCell ref="F21:J24"/>
    <mergeCell ref="F25:J26"/>
    <mergeCell ref="B10:B11"/>
    <mergeCell ref="B12:B13"/>
    <mergeCell ref="C12:C13"/>
    <mergeCell ref="E12:F13"/>
    <mergeCell ref="G12:G13"/>
    <mergeCell ref="H12:H13"/>
    <mergeCell ref="B14:H14"/>
    <mergeCell ref="B21:D22"/>
    <mergeCell ref="B23:D24"/>
    <mergeCell ref="E23:E24"/>
    <mergeCell ref="B25:D26"/>
    <mergeCell ref="E25:E26"/>
    <mergeCell ref="D12:D13"/>
    <mergeCell ref="B16:D16"/>
    <mergeCell ref="B17:D18"/>
    <mergeCell ref="L23:N24"/>
    <mergeCell ref="L25:N26"/>
    <mergeCell ref="L8:N8"/>
    <mergeCell ref="L9:M9"/>
    <mergeCell ref="L10:M13"/>
    <mergeCell ref="N10:N13"/>
    <mergeCell ref="L14:M14"/>
    <mergeCell ref="L16:N16"/>
    <mergeCell ref="L17:N18"/>
    <mergeCell ref="E17:E18"/>
    <mergeCell ref="B19:D20"/>
    <mergeCell ref="E19:E20"/>
    <mergeCell ref="E21:E22"/>
    <mergeCell ref="L19:N20"/>
    <mergeCell ref="L21:N2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B1:AF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" customWidth="1"/>
    <col min="4" max="11" width="25.85546875" customWidth="1"/>
    <col min="12" max="12" width="5.85546875" customWidth="1"/>
    <col min="13" max="17" width="25.85546875" customWidth="1"/>
    <col min="18" max="18" width="5.85546875" customWidth="1"/>
    <col min="19" max="21" width="25.85546875" customWidth="1"/>
  </cols>
  <sheetData>
    <row r="1" spans="2:32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2:32" ht="54" customHeight="1">
      <c r="B3" s="173" t="s">
        <v>0</v>
      </c>
      <c r="C3" s="174"/>
      <c r="D3" s="174"/>
      <c r="E3" s="174"/>
      <c r="F3" s="174"/>
      <c r="G3" s="174"/>
      <c r="H3" s="174"/>
      <c r="I3" s="174"/>
      <c r="J3" s="174"/>
      <c r="K3" s="174"/>
      <c r="L3" s="217" t="s">
        <v>41</v>
      </c>
      <c r="M3" s="174"/>
      <c r="N3" s="174"/>
      <c r="O3" s="174"/>
      <c r="P3" s="174"/>
      <c r="Q3" s="174"/>
      <c r="R3" s="174"/>
      <c r="S3" s="174"/>
      <c r="T3" s="174"/>
      <c r="U3" s="174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2:32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2:32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2:32" ht="31.5" customHeight="1">
      <c r="B6" s="261" t="s">
        <v>2</v>
      </c>
      <c r="C6" s="177"/>
      <c r="D6" s="262"/>
      <c r="E6" s="143"/>
      <c r="F6" s="33"/>
      <c r="G6" s="33"/>
      <c r="H6" s="33"/>
      <c r="I6" s="26"/>
      <c r="J6" s="27"/>
      <c r="K6" s="3"/>
      <c r="L6" s="3"/>
      <c r="M6" s="261" t="s">
        <v>3</v>
      </c>
      <c r="N6" s="177"/>
      <c r="O6" s="263" t="s">
        <v>42</v>
      </c>
      <c r="P6" s="143"/>
      <c r="Q6" s="3"/>
      <c r="R6" s="3"/>
      <c r="S6" s="3"/>
      <c r="T6" s="43" t="s">
        <v>5</v>
      </c>
      <c r="U6" s="44">
        <f ca="1">TODAY()</f>
        <v>45987</v>
      </c>
      <c r="V6" s="180"/>
      <c r="W6" s="174"/>
      <c r="X6" s="1"/>
      <c r="Y6" s="1"/>
      <c r="Z6" s="1"/>
      <c r="AA6" s="1"/>
      <c r="AB6" s="1"/>
      <c r="AC6" s="1"/>
      <c r="AD6" s="1"/>
      <c r="AE6" s="1"/>
      <c r="AF6" s="1"/>
    </row>
    <row r="7" spans="2:32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31.5" customHeight="1">
      <c r="B8" s="258" t="s">
        <v>79</v>
      </c>
      <c r="C8" s="145"/>
      <c r="D8" s="145"/>
      <c r="E8" s="145"/>
      <c r="F8" s="145"/>
      <c r="G8" s="145"/>
      <c r="H8" s="145"/>
      <c r="I8" s="145"/>
      <c r="J8" s="145"/>
      <c r="K8" s="143"/>
      <c r="L8" s="6"/>
      <c r="M8" s="156" t="s">
        <v>7</v>
      </c>
      <c r="N8" s="145"/>
      <c r="O8" s="145"/>
      <c r="P8" s="145"/>
      <c r="Q8" s="143"/>
      <c r="R8" s="6"/>
      <c r="S8" s="220" t="s">
        <v>8</v>
      </c>
      <c r="T8" s="221"/>
      <c r="U8" s="222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2:32" ht="31.5" customHeight="1">
      <c r="B9" s="7" t="s">
        <v>9</v>
      </c>
      <c r="C9" s="45" t="s">
        <v>10</v>
      </c>
      <c r="D9" s="9" t="s">
        <v>51</v>
      </c>
      <c r="E9" s="9" t="s">
        <v>80</v>
      </c>
      <c r="F9" s="9" t="s">
        <v>54</v>
      </c>
      <c r="G9" s="9" t="s">
        <v>53</v>
      </c>
      <c r="H9" s="9" t="s">
        <v>67</v>
      </c>
      <c r="I9" s="9" t="s">
        <v>81</v>
      </c>
      <c r="J9" s="9" t="s">
        <v>12</v>
      </c>
      <c r="K9" s="9" t="s">
        <v>13</v>
      </c>
      <c r="L9" s="10"/>
      <c r="M9" s="9" t="s">
        <v>69</v>
      </c>
      <c r="N9" s="9" t="s">
        <v>15</v>
      </c>
      <c r="O9" s="9" t="s">
        <v>16</v>
      </c>
      <c r="P9" s="9" t="s">
        <v>17</v>
      </c>
      <c r="Q9" s="9" t="s">
        <v>13</v>
      </c>
      <c r="R9" s="10"/>
      <c r="S9" s="46"/>
      <c r="T9" s="47"/>
      <c r="U9" s="48" t="s">
        <v>13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2:32" ht="31.5" customHeight="1">
      <c r="B10" s="165">
        <v>1</v>
      </c>
      <c r="C10" s="259" t="s">
        <v>82</v>
      </c>
      <c r="D10" s="159">
        <v>190</v>
      </c>
      <c r="E10" s="159">
        <f>16*190</f>
        <v>3040</v>
      </c>
      <c r="F10" s="159">
        <f>90*18</f>
        <v>1620</v>
      </c>
      <c r="G10" s="159">
        <v>190</v>
      </c>
      <c r="H10" s="159">
        <f>190*2</f>
        <v>380</v>
      </c>
      <c r="I10" s="159">
        <f>F10</f>
        <v>1620</v>
      </c>
      <c r="J10" s="160"/>
      <c r="K10" s="159">
        <f>(I10*J10)+I10+E10+D10+F10</f>
        <v>6470</v>
      </c>
      <c r="L10" s="12"/>
      <c r="M10" s="159">
        <v>1330</v>
      </c>
      <c r="N10" s="159">
        <v>1330</v>
      </c>
      <c r="O10" s="159">
        <v>1330</v>
      </c>
      <c r="P10" s="159">
        <v>760</v>
      </c>
      <c r="Q10" s="159">
        <f>SUM(M10:P10)</f>
        <v>4750</v>
      </c>
      <c r="R10" s="12"/>
      <c r="S10" s="226" t="s">
        <v>59</v>
      </c>
      <c r="T10" s="127"/>
      <c r="U10" s="260">
        <f>K14</f>
        <v>7412.5</v>
      </c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31.5" customHeight="1"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2"/>
      <c r="M11" s="147"/>
      <c r="N11" s="147"/>
      <c r="O11" s="147"/>
      <c r="P11" s="147"/>
      <c r="Q11" s="147"/>
      <c r="R11" s="12"/>
      <c r="S11" s="128"/>
      <c r="T11" s="129"/>
      <c r="U11" s="147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31.5" customHeight="1">
      <c r="B12" s="167">
        <v>2</v>
      </c>
      <c r="C12" s="254"/>
      <c r="D12" s="168">
        <v>190</v>
      </c>
      <c r="E12" s="168">
        <v>190</v>
      </c>
      <c r="F12" s="168">
        <f>12*90</f>
        <v>1080</v>
      </c>
      <c r="G12" s="168" t="s">
        <v>58</v>
      </c>
      <c r="H12" s="168" t="s">
        <v>58</v>
      </c>
      <c r="I12" s="168">
        <v>450</v>
      </c>
      <c r="J12" s="169">
        <v>0.25</v>
      </c>
      <c r="K12" s="168">
        <f>(I12*J12)+I12+E12+D12</f>
        <v>942.5</v>
      </c>
      <c r="L12" s="12"/>
      <c r="M12" s="151"/>
      <c r="N12" s="151"/>
      <c r="O12" s="168"/>
      <c r="P12" s="151"/>
      <c r="Q12" s="168">
        <f>SUM(M12:P12)</f>
        <v>0</v>
      </c>
      <c r="R12" s="12"/>
      <c r="S12" s="256" t="s">
        <v>21</v>
      </c>
      <c r="T12" s="127"/>
      <c r="U12" s="228">
        <f>Q14</f>
        <v>4750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31.5" customHeight="1"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2"/>
      <c r="M13" s="147"/>
      <c r="N13" s="147"/>
      <c r="O13" s="147"/>
      <c r="P13" s="147"/>
      <c r="Q13" s="147"/>
      <c r="R13" s="12"/>
      <c r="S13" s="128"/>
      <c r="T13" s="129"/>
      <c r="U13" s="147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31.5" customHeight="1">
      <c r="B14" s="252" t="s">
        <v>83</v>
      </c>
      <c r="C14" s="145"/>
      <c r="D14" s="145"/>
      <c r="E14" s="145"/>
      <c r="F14" s="145"/>
      <c r="G14" s="145"/>
      <c r="H14" s="145"/>
      <c r="I14" s="145"/>
      <c r="J14" s="143"/>
      <c r="K14" s="29">
        <f>SUM(K10:K13)</f>
        <v>7412.5</v>
      </c>
      <c r="L14" s="13"/>
      <c r="M14" s="164" t="s">
        <v>21</v>
      </c>
      <c r="N14" s="145"/>
      <c r="O14" s="145"/>
      <c r="P14" s="143"/>
      <c r="Q14" s="30">
        <f>SUM(Q10:Q13)</f>
        <v>4750</v>
      </c>
      <c r="R14" s="13"/>
      <c r="S14" s="257" t="s">
        <v>25</v>
      </c>
      <c r="T14" s="140"/>
      <c r="U14" s="49">
        <f>SUM(U10:U13)</f>
        <v>12162.5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31.5" customHeight="1">
      <c r="B16" s="253" t="s">
        <v>26</v>
      </c>
      <c r="C16" s="145"/>
      <c r="D16" s="143"/>
      <c r="E16" s="50" t="s">
        <v>9</v>
      </c>
      <c r="F16" s="253" t="s">
        <v>84</v>
      </c>
      <c r="G16" s="143"/>
      <c r="H16" s="253" t="s">
        <v>27</v>
      </c>
      <c r="I16" s="145"/>
      <c r="J16" s="145"/>
      <c r="K16" s="143"/>
      <c r="L16" s="51"/>
      <c r="M16" s="249" t="s">
        <v>26</v>
      </c>
      <c r="N16" s="143"/>
      <c r="O16" s="52" t="s">
        <v>9</v>
      </c>
      <c r="P16" s="249" t="s">
        <v>27</v>
      </c>
      <c r="Q16" s="143"/>
      <c r="R16" s="51"/>
      <c r="S16" s="250" t="s">
        <v>28</v>
      </c>
      <c r="T16" s="145"/>
      <c r="U16" s="143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2:32" ht="31.5" customHeight="1">
      <c r="B17" s="161" t="s">
        <v>60</v>
      </c>
      <c r="C17" s="139"/>
      <c r="D17" s="127"/>
      <c r="E17" s="207">
        <f>COUNT(B10:B13)</f>
        <v>2</v>
      </c>
      <c r="F17" s="248" t="s">
        <v>85</v>
      </c>
      <c r="G17" s="127"/>
      <c r="H17" s="211" t="s">
        <v>61</v>
      </c>
      <c r="I17" s="139"/>
      <c r="J17" s="139"/>
      <c r="K17" s="127"/>
      <c r="L17" s="19"/>
      <c r="M17" s="155" t="s">
        <v>69</v>
      </c>
      <c r="N17" s="127"/>
      <c r="O17" s="167">
        <f>COUNT(M10:M13)</f>
        <v>1</v>
      </c>
      <c r="P17" s="148" t="s">
        <v>32</v>
      </c>
      <c r="Q17" s="127"/>
      <c r="R17" s="19"/>
      <c r="S17" s="246"/>
      <c r="T17" s="139"/>
      <c r="U17" s="127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2:32" ht="31.5" customHeight="1">
      <c r="B18" s="128"/>
      <c r="C18" s="140"/>
      <c r="D18" s="129"/>
      <c r="E18" s="147"/>
      <c r="F18" s="128"/>
      <c r="G18" s="129"/>
      <c r="H18" s="149"/>
      <c r="I18" s="174"/>
      <c r="J18" s="174"/>
      <c r="K18" s="150"/>
      <c r="L18" s="19"/>
      <c r="M18" s="128"/>
      <c r="N18" s="129"/>
      <c r="O18" s="147"/>
      <c r="P18" s="149"/>
      <c r="Q18" s="150"/>
      <c r="R18" s="19"/>
      <c r="S18" s="128"/>
      <c r="T18" s="140"/>
      <c r="U18" s="129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2:32" ht="31.5" customHeight="1">
      <c r="B19" s="162" t="s">
        <v>52</v>
      </c>
      <c r="C19" s="139"/>
      <c r="D19" s="127"/>
      <c r="E19" s="165">
        <f>COUNT(B10:B13)</f>
        <v>2</v>
      </c>
      <c r="F19" s="251" t="s">
        <v>86</v>
      </c>
      <c r="G19" s="127"/>
      <c r="H19" s="149"/>
      <c r="I19" s="174"/>
      <c r="J19" s="174"/>
      <c r="K19" s="150"/>
      <c r="L19" s="19"/>
      <c r="M19" s="153" t="s">
        <v>15</v>
      </c>
      <c r="N19" s="127"/>
      <c r="O19" s="165">
        <f>COUNT(N10:N13)</f>
        <v>1</v>
      </c>
      <c r="P19" s="149"/>
      <c r="Q19" s="150"/>
      <c r="R19" s="19"/>
      <c r="S19" s="247"/>
      <c r="T19" s="139"/>
      <c r="U19" s="127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2:32" ht="31.5" customHeight="1">
      <c r="B20" s="128"/>
      <c r="C20" s="140"/>
      <c r="D20" s="129"/>
      <c r="E20" s="147"/>
      <c r="F20" s="128"/>
      <c r="G20" s="129"/>
      <c r="H20" s="128"/>
      <c r="I20" s="140"/>
      <c r="J20" s="140"/>
      <c r="K20" s="129"/>
      <c r="L20" s="19"/>
      <c r="M20" s="128"/>
      <c r="N20" s="129"/>
      <c r="O20" s="147"/>
      <c r="P20" s="128"/>
      <c r="Q20" s="129"/>
      <c r="R20" s="19"/>
      <c r="S20" s="128"/>
      <c r="T20" s="140"/>
      <c r="U20" s="129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2:32" ht="31.5" customHeight="1">
      <c r="B21" s="161" t="s">
        <v>35</v>
      </c>
      <c r="C21" s="139"/>
      <c r="D21" s="127"/>
      <c r="E21" s="207">
        <v>0</v>
      </c>
      <c r="F21" s="255" t="s">
        <v>87</v>
      </c>
      <c r="G21" s="127"/>
      <c r="H21" s="208" t="s">
        <v>88</v>
      </c>
      <c r="I21" s="139"/>
      <c r="J21" s="139"/>
      <c r="K21" s="127"/>
      <c r="L21" s="19"/>
      <c r="M21" s="155" t="s">
        <v>16</v>
      </c>
      <c r="N21" s="127"/>
      <c r="O21" s="167">
        <f>COUNT(O10:O13)</f>
        <v>1</v>
      </c>
      <c r="P21" s="148" t="s">
        <v>37</v>
      </c>
      <c r="Q21" s="127"/>
      <c r="R21" s="19"/>
      <c r="S21" s="245"/>
      <c r="T21" s="139"/>
      <c r="U21" s="127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2:32" ht="31.5" customHeight="1">
      <c r="B22" s="128"/>
      <c r="C22" s="140"/>
      <c r="D22" s="129"/>
      <c r="E22" s="147"/>
      <c r="F22" s="128"/>
      <c r="G22" s="129"/>
      <c r="H22" s="149"/>
      <c r="I22" s="174"/>
      <c r="J22" s="174"/>
      <c r="K22" s="150"/>
      <c r="L22" s="19"/>
      <c r="M22" s="128"/>
      <c r="N22" s="129"/>
      <c r="O22" s="147"/>
      <c r="P22" s="149"/>
      <c r="Q22" s="150"/>
      <c r="R22" s="19"/>
      <c r="S22" s="128"/>
      <c r="T22" s="140"/>
      <c r="U22" s="129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2:32" ht="31.5" customHeight="1">
      <c r="B23" s="162" t="s">
        <v>89</v>
      </c>
      <c r="C23" s="139"/>
      <c r="D23" s="127"/>
      <c r="E23" s="165">
        <v>0</v>
      </c>
      <c r="F23" s="251" t="s">
        <v>90</v>
      </c>
      <c r="G23" s="127"/>
      <c r="H23" s="149"/>
      <c r="I23" s="174"/>
      <c r="J23" s="174"/>
      <c r="K23" s="150"/>
      <c r="L23" s="19"/>
      <c r="M23" s="153" t="s">
        <v>17</v>
      </c>
      <c r="N23" s="127"/>
      <c r="O23" s="158">
        <f>COUNT(P10:P13)</f>
        <v>1</v>
      </c>
      <c r="P23" s="149"/>
      <c r="Q23" s="150"/>
      <c r="R23" s="19"/>
      <c r="S23" s="244"/>
      <c r="T23" s="139"/>
      <c r="U23" s="127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2:32" ht="31.5" customHeight="1">
      <c r="B24" s="128"/>
      <c r="C24" s="140"/>
      <c r="D24" s="129"/>
      <c r="E24" s="147"/>
      <c r="F24" s="128"/>
      <c r="G24" s="129"/>
      <c r="H24" s="149"/>
      <c r="I24" s="174"/>
      <c r="J24" s="174"/>
      <c r="K24" s="150"/>
      <c r="L24" s="19"/>
      <c r="M24" s="128"/>
      <c r="N24" s="129"/>
      <c r="O24" s="147"/>
      <c r="P24" s="149"/>
      <c r="Q24" s="150"/>
      <c r="R24" s="19"/>
      <c r="S24" s="128"/>
      <c r="T24" s="140"/>
      <c r="U24" s="129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2:32" ht="31.5" customHeight="1">
      <c r="B25" s="161" t="s">
        <v>39</v>
      </c>
      <c r="C25" s="139"/>
      <c r="D25" s="127"/>
      <c r="E25" s="167">
        <f>COUNT(B10:B13)</f>
        <v>2</v>
      </c>
      <c r="F25" s="255" t="s">
        <v>91</v>
      </c>
      <c r="G25" s="127"/>
      <c r="H25" s="149"/>
      <c r="I25" s="174"/>
      <c r="J25" s="174"/>
      <c r="K25" s="150"/>
      <c r="L25" s="19"/>
      <c r="M25" s="155" t="s">
        <v>40</v>
      </c>
      <c r="N25" s="127"/>
      <c r="O25" s="167">
        <v>0</v>
      </c>
      <c r="P25" s="149"/>
      <c r="Q25" s="150"/>
      <c r="R25" s="19"/>
      <c r="S25" s="245"/>
      <c r="T25" s="139"/>
      <c r="U25" s="127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2:32" ht="31.5" customHeight="1">
      <c r="B26" s="128"/>
      <c r="C26" s="140"/>
      <c r="D26" s="129"/>
      <c r="E26" s="147"/>
      <c r="F26" s="128"/>
      <c r="G26" s="129"/>
      <c r="H26" s="128"/>
      <c r="I26" s="140"/>
      <c r="J26" s="140"/>
      <c r="K26" s="129"/>
      <c r="L26" s="19"/>
      <c r="M26" s="128"/>
      <c r="N26" s="129"/>
      <c r="O26" s="147"/>
      <c r="P26" s="128"/>
      <c r="Q26" s="129"/>
      <c r="R26" s="19"/>
      <c r="S26" s="128"/>
      <c r="T26" s="140"/>
      <c r="U26" s="129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2:32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53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2:32" ht="15.75" customHeight="1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2:32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2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2:32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2:32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2:32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2:32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2:32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2:32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2:32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2:32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2:32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2:32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2:32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2:32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2:32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2:32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2:32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2:32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2:32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2:32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2:32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2:32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2:32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2:32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2:32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2:32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2:32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2:32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2:32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2:32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2:32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2:32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2:32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2:32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2:32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2:32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2:32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2:32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2:32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2:32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2:32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2:32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2:32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2:32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2:32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2:32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2:32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2:32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2:32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2:32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2:32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2:32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2:32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2:32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2:32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2:32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2:32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2:32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2:32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2:32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2:32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2:32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2:32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2:32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2:32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2:32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2:32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2:32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2:32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2:32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2:32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2:32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2:32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2:32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2:32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2:32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2:32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2:32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2:32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2:32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2:32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2:32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2:32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2:32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2:32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2:32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2:32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2:32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2:32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2:32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2:32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2:32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2:32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2:32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2:32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2:32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2:32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2:32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2:32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2:32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2:32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2:32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2:32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2:32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2:32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2:32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2:32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2:32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2:32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2:32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2:32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2:32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2:32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2:32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2:32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2:32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2:32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2:32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2:32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2:32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2:32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2:32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2:32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2:32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2:32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2:32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2:32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2:32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2:32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2:32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2:32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2:32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2:32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2:32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2:32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2:32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2:32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2:32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2:32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2:32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2:32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2:32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2:32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2:32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2:32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2:32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2:32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2:32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2:32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2:32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2:32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2:32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2:32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2:32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2:32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2:32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2:32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2:32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2:32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2:32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2:32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2:32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2:32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2:32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2:32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2:32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2:32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2:32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2:32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2:32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2:32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2:32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2:32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2:32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2:32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2:32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2:32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2:32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2:32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2:32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2:32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2:32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2:32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2:32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2:32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2:32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2:32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2:32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2:32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2:32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2:32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2:32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2:32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2:32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2:32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2:32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2:32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2:32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2:32" ht="15.75" customHeight="1"/>
    <row r="227" spans="2:32" ht="15.75" customHeight="1"/>
    <row r="228" spans="2:32" ht="15.75" customHeight="1"/>
    <row r="229" spans="2:32" ht="15.75" customHeight="1"/>
    <row r="230" spans="2:32" ht="15.75" customHeight="1"/>
    <row r="231" spans="2:32" ht="15.75" customHeight="1"/>
    <row r="232" spans="2:32" ht="15.75" customHeight="1"/>
    <row r="233" spans="2:32" ht="15.75" customHeight="1"/>
    <row r="234" spans="2:32" ht="15.75" customHeight="1"/>
    <row r="235" spans="2:32" ht="15.75" customHeight="1"/>
    <row r="236" spans="2:32" ht="15.75" customHeight="1"/>
    <row r="237" spans="2:32" ht="15.75" customHeight="1"/>
    <row r="238" spans="2:32" ht="15.75" customHeight="1"/>
    <row r="239" spans="2:32" ht="15.75" customHeight="1"/>
    <row r="240" spans="2:3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7">
    <mergeCell ref="B3:K3"/>
    <mergeCell ref="L3:U3"/>
    <mergeCell ref="B6:C6"/>
    <mergeCell ref="D6:E6"/>
    <mergeCell ref="M6:N6"/>
    <mergeCell ref="O6:P6"/>
    <mergeCell ref="V6:W6"/>
    <mergeCell ref="H10:H11"/>
    <mergeCell ref="I10:I11"/>
    <mergeCell ref="H12:H13"/>
    <mergeCell ref="I12:I13"/>
    <mergeCell ref="J10:J11"/>
    <mergeCell ref="K10:K11"/>
    <mergeCell ref="J12:J13"/>
    <mergeCell ref="K12:K13"/>
    <mergeCell ref="M10:M11"/>
    <mergeCell ref="N10:N11"/>
    <mergeCell ref="M12:M13"/>
    <mergeCell ref="N12:N13"/>
    <mergeCell ref="Q12:Q13"/>
    <mergeCell ref="Q10:Q11"/>
    <mergeCell ref="S10:T11"/>
    <mergeCell ref="B8:K8"/>
    <mergeCell ref="M8:Q8"/>
    <mergeCell ref="S8:U8"/>
    <mergeCell ref="B10:B11"/>
    <mergeCell ref="C10:C11"/>
    <mergeCell ref="D10:D11"/>
    <mergeCell ref="E10:E11"/>
    <mergeCell ref="U10:U11"/>
    <mergeCell ref="O10:O11"/>
    <mergeCell ref="P10:P11"/>
    <mergeCell ref="E21:E22"/>
    <mergeCell ref="F21:G22"/>
    <mergeCell ref="S12:T13"/>
    <mergeCell ref="U12:U13"/>
    <mergeCell ref="S14:T14"/>
    <mergeCell ref="M14:P14"/>
    <mergeCell ref="O12:O13"/>
    <mergeCell ref="P12:P13"/>
    <mergeCell ref="M16:N16"/>
    <mergeCell ref="P16:Q16"/>
    <mergeCell ref="S16:U16"/>
    <mergeCell ref="F10:F11"/>
    <mergeCell ref="G10:G11"/>
    <mergeCell ref="F12:F13"/>
    <mergeCell ref="G12:G13"/>
    <mergeCell ref="B14:J14"/>
    <mergeCell ref="B16:D16"/>
    <mergeCell ref="F16:G16"/>
    <mergeCell ref="H16:K16"/>
    <mergeCell ref="B12:B13"/>
    <mergeCell ref="C12:C13"/>
    <mergeCell ref="D12:D13"/>
    <mergeCell ref="E12:E13"/>
    <mergeCell ref="B25:D26"/>
    <mergeCell ref="E17:E18"/>
    <mergeCell ref="F17:G18"/>
    <mergeCell ref="H17:K20"/>
    <mergeCell ref="M17:N18"/>
    <mergeCell ref="H21:K26"/>
    <mergeCell ref="E23:E24"/>
    <mergeCell ref="F23:G24"/>
    <mergeCell ref="B17:D18"/>
    <mergeCell ref="B19:D20"/>
    <mergeCell ref="B21:D22"/>
    <mergeCell ref="B23:D24"/>
    <mergeCell ref="E25:E26"/>
    <mergeCell ref="F25:G26"/>
    <mergeCell ref="E19:E20"/>
    <mergeCell ref="F19:G20"/>
    <mergeCell ref="O17:O18"/>
    <mergeCell ref="P17:Q20"/>
    <mergeCell ref="S17:U18"/>
    <mergeCell ref="S19:U20"/>
    <mergeCell ref="S21:U22"/>
    <mergeCell ref="S23:U24"/>
    <mergeCell ref="S25:U26"/>
    <mergeCell ref="M25:N26"/>
    <mergeCell ref="O25:O26"/>
    <mergeCell ref="M19:N20"/>
    <mergeCell ref="O19:O20"/>
    <mergeCell ref="M21:N22"/>
    <mergeCell ref="O21:O22"/>
    <mergeCell ref="P21:Q26"/>
    <mergeCell ref="M23:N24"/>
    <mergeCell ref="O23:O24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/>
  <cols>
    <col min="1" max="1" width="14" customWidth="1"/>
    <col min="2" max="2" width="29.42578125" customWidth="1"/>
    <col min="3" max="3" width="17.5703125" customWidth="1"/>
    <col min="4" max="4" width="13" customWidth="1"/>
    <col min="5" max="8" width="15.85546875" customWidth="1"/>
    <col min="9" max="9" width="11.85546875" customWidth="1"/>
    <col min="10" max="13" width="15.85546875" customWidth="1"/>
    <col min="14" max="14" width="11.85546875" customWidth="1"/>
    <col min="15" max="17" width="15.85546875" customWidth="1"/>
    <col min="18" max="26" width="10.5703125" customWidth="1"/>
  </cols>
  <sheetData>
    <row r="1" spans="1:26" ht="13.5" customHeight="1">
      <c r="A1" s="54" t="s">
        <v>92</v>
      </c>
      <c r="B1" s="55"/>
      <c r="C1" s="54" t="s">
        <v>93</v>
      </c>
      <c r="D1" s="279"/>
      <c r="E1" s="140"/>
      <c r="F1" s="140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3.5" customHeight="1">
      <c r="A2" s="54" t="s">
        <v>5</v>
      </c>
      <c r="B2" s="57">
        <f ca="1">TODAY()</f>
        <v>45987</v>
      </c>
      <c r="C2" s="58"/>
      <c r="D2" s="58"/>
      <c r="E2" s="58"/>
      <c r="F2" s="58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ht="13.5" customHeight="1">
      <c r="A3" s="59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 ht="13.5" customHeight="1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ht="13.5" customHeight="1">
      <c r="A5" s="60" t="s">
        <v>94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</row>
    <row r="6" spans="1:26" ht="13.5" customHeight="1">
      <c r="A6" s="56"/>
      <c r="B6" s="56"/>
      <c r="C6" s="56"/>
      <c r="D6" s="56"/>
      <c r="E6" s="280" t="s">
        <v>95</v>
      </c>
      <c r="F6" s="174"/>
      <c r="G6" s="56" t="s">
        <v>96</v>
      </c>
      <c r="H6" s="61"/>
      <c r="I6" s="61"/>
      <c r="J6" s="61"/>
      <c r="K6" s="61"/>
      <c r="L6" s="61"/>
      <c r="M6" s="61"/>
      <c r="N6" s="56"/>
      <c r="O6" s="61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</row>
    <row r="7" spans="1:26" ht="13.5" customHeight="1">
      <c r="A7" s="59" t="s">
        <v>72</v>
      </c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3.5" customHeight="1">
      <c r="A8" s="62" t="s">
        <v>97</v>
      </c>
      <c r="B8" s="62"/>
      <c r="C8" s="62"/>
      <c r="D8" s="62"/>
      <c r="E8" s="62"/>
      <c r="F8" s="62"/>
      <c r="G8" s="62"/>
      <c r="H8" s="63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spans="1:26" ht="13.5" customHeight="1">
      <c r="A9" s="64" t="s">
        <v>9</v>
      </c>
      <c r="B9" s="64" t="s">
        <v>98</v>
      </c>
      <c r="C9" s="64" t="s">
        <v>99</v>
      </c>
      <c r="D9" s="65"/>
      <c r="E9" s="66" t="s">
        <v>100</v>
      </c>
      <c r="F9" s="67" t="s">
        <v>101</v>
      </c>
      <c r="G9" s="67" t="s">
        <v>12</v>
      </c>
      <c r="H9" s="64" t="s">
        <v>13</v>
      </c>
      <c r="I9" s="68"/>
      <c r="J9" s="67" t="s">
        <v>102</v>
      </c>
      <c r="K9" s="67" t="s">
        <v>101</v>
      </c>
      <c r="L9" s="67" t="s">
        <v>12</v>
      </c>
      <c r="M9" s="67" t="s">
        <v>13</v>
      </c>
      <c r="N9" s="69"/>
      <c r="O9" s="67" t="s">
        <v>103</v>
      </c>
      <c r="P9" s="67" t="s">
        <v>104</v>
      </c>
      <c r="Q9" s="67" t="s">
        <v>105</v>
      </c>
      <c r="R9" s="69"/>
      <c r="S9" s="69"/>
      <c r="T9" s="69"/>
      <c r="U9" s="69"/>
      <c r="V9" s="69"/>
      <c r="W9" s="69"/>
      <c r="X9" s="69"/>
      <c r="Y9" s="69"/>
      <c r="Z9" s="69"/>
    </row>
    <row r="10" spans="1:26" ht="18" customHeight="1">
      <c r="A10" s="70">
        <v>1</v>
      </c>
      <c r="B10" s="70" t="s">
        <v>106</v>
      </c>
      <c r="C10" s="71">
        <v>950</v>
      </c>
      <c r="D10" s="72"/>
      <c r="E10" s="281">
        <v>70</v>
      </c>
      <c r="F10" s="73">
        <v>5</v>
      </c>
      <c r="G10" s="74">
        <v>0.5</v>
      </c>
      <c r="H10" s="75">
        <v>525</v>
      </c>
      <c r="I10" s="76"/>
      <c r="J10" s="281">
        <v>70</v>
      </c>
      <c r="K10" s="70">
        <v>5</v>
      </c>
      <c r="L10" s="77">
        <v>0.5</v>
      </c>
      <c r="M10" s="75">
        <v>525</v>
      </c>
      <c r="N10" s="56"/>
      <c r="O10" s="281">
        <v>680</v>
      </c>
      <c r="P10" s="74">
        <v>0.5</v>
      </c>
      <c r="Q10" s="78">
        <f>SUM(O10*P10)+O10</f>
        <v>1020</v>
      </c>
      <c r="R10" s="56"/>
      <c r="S10" s="56"/>
      <c r="T10" s="56"/>
      <c r="U10" s="56"/>
      <c r="V10" s="56"/>
      <c r="W10" s="56"/>
      <c r="X10" s="56"/>
      <c r="Y10" s="56"/>
      <c r="Z10" s="56"/>
    </row>
    <row r="11" spans="1:26" ht="18" customHeight="1">
      <c r="A11" s="79">
        <v>2</v>
      </c>
      <c r="B11" s="79" t="s">
        <v>76</v>
      </c>
      <c r="C11" s="80">
        <v>950</v>
      </c>
      <c r="D11" s="72"/>
      <c r="E11" s="147"/>
      <c r="F11" s="79">
        <v>5</v>
      </c>
      <c r="G11" s="81">
        <v>0.25</v>
      </c>
      <c r="H11" s="82">
        <f>(E10*G11)+E10*F11</f>
        <v>367.5</v>
      </c>
      <c r="I11" s="76"/>
      <c r="J11" s="147"/>
      <c r="K11" s="79">
        <v>5</v>
      </c>
      <c r="L11" s="81"/>
      <c r="M11" s="82">
        <f>(J10*L11)+J10*K11</f>
        <v>350</v>
      </c>
      <c r="N11" s="56"/>
      <c r="O11" s="147"/>
      <c r="P11" s="81"/>
      <c r="Q11" s="80">
        <f>SUM(O10*P11)+O10</f>
        <v>680</v>
      </c>
      <c r="R11" s="56"/>
      <c r="S11" s="56"/>
      <c r="T11" s="56"/>
      <c r="U11" s="56"/>
      <c r="V11" s="56"/>
      <c r="W11" s="56"/>
      <c r="X11" s="56"/>
      <c r="Y11" s="56"/>
      <c r="Z11" s="56"/>
    </row>
    <row r="12" spans="1:26" ht="13.5" customHeight="1">
      <c r="A12" s="273" t="s">
        <v>107</v>
      </c>
      <c r="B12" s="143"/>
      <c r="C12" s="83">
        <f>SUM(C9:C11)</f>
        <v>1900</v>
      </c>
      <c r="D12" s="56"/>
      <c r="E12" s="273" t="s">
        <v>108</v>
      </c>
      <c r="F12" s="145"/>
      <c r="G12" s="143"/>
      <c r="H12" s="83">
        <f>SUM(H10:H11)</f>
        <v>892.5</v>
      </c>
      <c r="I12" s="56"/>
      <c r="J12" s="273" t="s">
        <v>109</v>
      </c>
      <c r="K12" s="145"/>
      <c r="L12" s="143"/>
      <c r="M12" s="83">
        <f>SUM(M9:M11)</f>
        <v>875</v>
      </c>
      <c r="N12" s="56"/>
      <c r="O12" s="273" t="s">
        <v>110</v>
      </c>
      <c r="P12" s="143"/>
      <c r="Q12" s="83">
        <f>SUM(Q9:Q11)</f>
        <v>1700</v>
      </c>
      <c r="R12" s="56"/>
      <c r="S12" s="56"/>
      <c r="T12" s="56"/>
      <c r="U12" s="56"/>
      <c r="V12" s="56"/>
      <c r="W12" s="56"/>
      <c r="X12" s="56"/>
      <c r="Y12" s="56"/>
      <c r="Z12" s="56"/>
    </row>
    <row r="13" spans="1:26" ht="13.5" customHeight="1">
      <c r="A13" s="56"/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spans="1:26" ht="13.5" customHeight="1">
      <c r="A14" s="56"/>
      <c r="B14" s="56"/>
      <c r="C14" s="56"/>
      <c r="D14" s="56"/>
      <c r="E14" s="274" t="s">
        <v>111</v>
      </c>
      <c r="F14" s="174"/>
      <c r="G14" s="174"/>
      <c r="H14" s="174"/>
      <c r="I14" s="56"/>
      <c r="J14" s="56"/>
      <c r="K14" s="56"/>
      <c r="L14" s="56"/>
      <c r="M14" s="56"/>
      <c r="N14" s="56"/>
      <c r="O14" s="274" t="s">
        <v>112</v>
      </c>
      <c r="P14" s="174"/>
      <c r="Q14" s="174"/>
      <c r="R14" s="56"/>
      <c r="S14" s="56"/>
      <c r="T14" s="56"/>
      <c r="U14" s="56"/>
      <c r="V14" s="56"/>
      <c r="W14" s="56"/>
      <c r="X14" s="56"/>
      <c r="Y14" s="56"/>
      <c r="Z14" s="56"/>
    </row>
    <row r="15" spans="1:26" ht="13.5" customHeight="1">
      <c r="A15" s="56"/>
      <c r="B15" s="56"/>
      <c r="C15" s="56"/>
      <c r="D15" s="56"/>
      <c r="E15" s="174"/>
      <c r="F15" s="174"/>
      <c r="G15" s="174"/>
      <c r="H15" s="174"/>
      <c r="I15" s="56"/>
      <c r="J15" s="56"/>
      <c r="K15" s="56"/>
      <c r="L15" s="56"/>
      <c r="M15" s="56"/>
      <c r="N15" s="56"/>
      <c r="O15" s="174"/>
      <c r="P15" s="174"/>
      <c r="Q15" s="174"/>
      <c r="R15" s="56"/>
      <c r="S15" s="56"/>
      <c r="T15" s="56"/>
      <c r="U15" s="56"/>
      <c r="V15" s="56"/>
      <c r="W15" s="56"/>
      <c r="X15" s="56"/>
      <c r="Y15" s="56"/>
      <c r="Z15" s="56"/>
    </row>
    <row r="16" spans="1:26" ht="24.75" customHeight="1">
      <c r="A16" s="84"/>
      <c r="B16" s="84"/>
      <c r="C16" s="84"/>
      <c r="D16" s="84"/>
      <c r="E16" s="56"/>
      <c r="F16" s="56"/>
      <c r="G16" s="59"/>
      <c r="H16" s="59"/>
      <c r="I16" s="59"/>
      <c r="J16" s="56"/>
      <c r="K16" s="56"/>
      <c r="L16" s="56"/>
      <c r="M16" s="56"/>
      <c r="N16" s="56"/>
      <c r="O16" s="174"/>
      <c r="P16" s="174"/>
      <c r="Q16" s="174"/>
      <c r="R16" s="56"/>
      <c r="S16" s="56"/>
      <c r="T16" s="56"/>
      <c r="U16" s="56"/>
      <c r="V16" s="56"/>
      <c r="W16" s="56"/>
      <c r="X16" s="56"/>
      <c r="Y16" s="56"/>
      <c r="Z16" s="56"/>
    </row>
    <row r="17" spans="1:26" ht="13.5" customHeight="1">
      <c r="A17" s="84"/>
      <c r="B17" s="84"/>
      <c r="C17" s="84"/>
      <c r="D17" s="84"/>
      <c r="E17" s="56"/>
      <c r="F17" s="56"/>
      <c r="G17" s="59"/>
      <c r="H17" s="59"/>
      <c r="I17" s="59"/>
      <c r="J17" s="56"/>
      <c r="K17" s="56"/>
      <c r="L17" s="56"/>
      <c r="M17" s="56"/>
      <c r="N17" s="56"/>
      <c r="O17" s="85"/>
      <c r="P17" s="85"/>
      <c r="Q17" s="85"/>
      <c r="R17" s="56"/>
      <c r="S17" s="56"/>
      <c r="T17" s="56"/>
      <c r="U17" s="56"/>
      <c r="V17" s="56"/>
      <c r="W17" s="56"/>
      <c r="X17" s="56"/>
      <c r="Y17" s="56"/>
      <c r="Z17" s="56"/>
    </row>
    <row r="18" spans="1:26" ht="13.5" customHeight="1">
      <c r="A18" s="84"/>
      <c r="B18" s="84"/>
      <c r="C18" s="84"/>
      <c r="D18" s="84"/>
      <c r="E18" s="56"/>
      <c r="F18" s="56"/>
      <c r="G18" s="59"/>
      <c r="H18" s="59"/>
      <c r="I18" s="59"/>
      <c r="J18" s="56"/>
      <c r="K18" s="56"/>
      <c r="L18" s="56"/>
      <c r="M18" s="56"/>
      <c r="N18" s="56"/>
      <c r="O18" s="85"/>
      <c r="P18" s="85"/>
      <c r="Q18" s="85"/>
      <c r="R18" s="56"/>
      <c r="S18" s="56"/>
      <c r="T18" s="56"/>
      <c r="U18" s="56"/>
      <c r="V18" s="56"/>
      <c r="W18" s="56"/>
      <c r="X18" s="56"/>
      <c r="Y18" s="56"/>
      <c r="Z18" s="56"/>
    </row>
    <row r="19" spans="1:26" ht="51" customHeight="1">
      <c r="A19" s="275" t="s">
        <v>113</v>
      </c>
      <c r="B19" s="145"/>
      <c r="C19" s="145"/>
      <c r="D19" s="145"/>
      <c r="E19" s="145"/>
      <c r="F19" s="143"/>
      <c r="G19" s="62"/>
      <c r="H19" s="62"/>
      <c r="I19" s="62"/>
      <c r="J19" s="276" t="s">
        <v>114</v>
      </c>
      <c r="K19" s="143"/>
      <c r="L19" s="86" t="s">
        <v>10</v>
      </c>
      <c r="M19" s="86" t="s">
        <v>13</v>
      </c>
      <c r="N19" s="56"/>
      <c r="O19" s="85"/>
      <c r="P19" s="85"/>
      <c r="Q19" s="85"/>
      <c r="R19" s="56"/>
      <c r="S19" s="56"/>
      <c r="T19" s="56"/>
      <c r="U19" s="56"/>
      <c r="V19" s="56"/>
      <c r="W19" s="56"/>
      <c r="X19" s="56"/>
      <c r="Y19" s="56"/>
      <c r="Z19" s="56"/>
    </row>
    <row r="20" spans="1:26" ht="18" customHeight="1">
      <c r="A20" s="87" t="s">
        <v>9</v>
      </c>
      <c r="B20" s="87" t="s">
        <v>98</v>
      </c>
      <c r="C20" s="87" t="s">
        <v>115</v>
      </c>
      <c r="D20" s="87" t="s">
        <v>73</v>
      </c>
      <c r="E20" s="87" t="s">
        <v>13</v>
      </c>
      <c r="F20" s="87" t="s">
        <v>116</v>
      </c>
      <c r="G20" s="88"/>
      <c r="H20" s="88"/>
      <c r="I20" s="89"/>
      <c r="J20" s="277">
        <v>665</v>
      </c>
      <c r="K20" s="127"/>
      <c r="L20" s="73" t="s">
        <v>117</v>
      </c>
      <c r="M20" s="90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ht="18" customHeight="1">
      <c r="A21" s="73">
        <v>1</v>
      </c>
      <c r="B21" s="73" t="str">
        <f t="shared" ref="B21:B22" si="0">B10</f>
        <v>JEAN</v>
      </c>
      <c r="C21" s="73">
        <v>50</v>
      </c>
      <c r="D21" s="78">
        <v>54</v>
      </c>
      <c r="E21" s="78">
        <f t="shared" ref="E21:E22" si="1">D21*C21</f>
        <v>2700</v>
      </c>
      <c r="F21" s="73"/>
      <c r="G21" s="91"/>
      <c r="H21" s="92"/>
      <c r="I21" s="92"/>
      <c r="J21" s="149"/>
      <c r="K21" s="150"/>
      <c r="L21" s="73" t="s">
        <v>118</v>
      </c>
      <c r="M21" s="90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 spans="1:26" ht="18" customHeight="1">
      <c r="A22" s="79">
        <v>2</v>
      </c>
      <c r="B22" s="79" t="str">
        <f t="shared" si="0"/>
        <v>TOP</v>
      </c>
      <c r="C22" s="79">
        <v>50</v>
      </c>
      <c r="D22" s="80">
        <v>27</v>
      </c>
      <c r="E22" s="80">
        <f t="shared" si="1"/>
        <v>1350</v>
      </c>
      <c r="F22" s="79"/>
      <c r="G22" s="91"/>
      <c r="H22" s="92"/>
      <c r="I22" s="92"/>
      <c r="J22" s="128"/>
      <c r="K22" s="129"/>
      <c r="L22" s="73"/>
      <c r="M22" s="73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spans="1:26" ht="13.5" customHeight="1">
      <c r="A23" s="278" t="s">
        <v>119</v>
      </c>
      <c r="B23" s="140"/>
      <c r="C23" s="140"/>
      <c r="D23" s="198"/>
      <c r="E23" s="93">
        <f>SUM(E21:E22)</f>
        <v>4050</v>
      </c>
      <c r="F23" s="94"/>
      <c r="G23" s="95"/>
      <c r="H23" s="96"/>
      <c r="I23" s="96"/>
      <c r="J23" s="273" t="s">
        <v>120</v>
      </c>
      <c r="K23" s="145"/>
      <c r="L23" s="143"/>
      <c r="M23" s="97">
        <f>SUM(M20:M22)</f>
        <v>0</v>
      </c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</row>
    <row r="24" spans="1:26" ht="13.5" customHeight="1">
      <c r="A24" s="56"/>
      <c r="B24" s="56"/>
      <c r="C24" s="56"/>
      <c r="D24" s="56"/>
      <c r="E24" s="98"/>
      <c r="F24" s="96"/>
      <c r="G24" s="96"/>
      <c r="H24" s="99"/>
      <c r="I24" s="92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spans="1:26" ht="13.5" customHeight="1">
      <c r="A25" s="56"/>
      <c r="B25" s="56"/>
      <c r="C25" s="56"/>
      <c r="D25" s="56"/>
      <c r="E25" s="56"/>
      <c r="F25" s="56"/>
      <c r="G25" s="99"/>
      <c r="H25" s="99"/>
      <c r="I25" s="99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spans="1:26" ht="30" customHeight="1">
      <c r="A26" s="271" t="s">
        <v>121</v>
      </c>
      <c r="B26" s="145"/>
      <c r="C26" s="143"/>
      <c r="D26" s="56"/>
      <c r="E26" s="56"/>
      <c r="F26" s="56"/>
      <c r="G26" s="99"/>
      <c r="H26" s="99"/>
      <c r="I26" s="99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spans="1:26" ht="13.5" customHeight="1">
      <c r="A27" s="272" t="s">
        <v>94</v>
      </c>
      <c r="B27" s="145"/>
      <c r="C27" s="143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 spans="1:26" ht="13.5" customHeight="1">
      <c r="A28" s="265" t="s">
        <v>107</v>
      </c>
      <c r="B28" s="174"/>
      <c r="C28" s="100">
        <f>C12</f>
        <v>1900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spans="1:26" ht="13.5" customHeight="1">
      <c r="A29" s="265" t="s">
        <v>108</v>
      </c>
      <c r="B29" s="174"/>
      <c r="C29" s="100">
        <f>H12</f>
        <v>892.5</v>
      </c>
      <c r="D29" s="269" t="s">
        <v>122</v>
      </c>
      <c r="E29" s="174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spans="1:26" ht="13.5" customHeight="1">
      <c r="A30" s="265" t="s">
        <v>123</v>
      </c>
      <c r="B30" s="174"/>
      <c r="C30" s="100">
        <f>M12</f>
        <v>875</v>
      </c>
      <c r="D30" s="269" t="s">
        <v>122</v>
      </c>
      <c r="E30" s="174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spans="1:26" ht="13.5" customHeight="1">
      <c r="A31" s="265" t="s">
        <v>110</v>
      </c>
      <c r="B31" s="174"/>
      <c r="C31" s="100">
        <f>Q12</f>
        <v>1700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spans="1:26" ht="13.5" customHeight="1">
      <c r="A32" s="265" t="s">
        <v>114</v>
      </c>
      <c r="B32" s="174"/>
      <c r="C32" s="100">
        <f>M23</f>
        <v>0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spans="1:26" ht="13.5" customHeight="1">
      <c r="A33" s="266" t="s">
        <v>124</v>
      </c>
      <c r="B33" s="174"/>
      <c r="C33" s="101">
        <f>SUM(C28:C32)</f>
        <v>5367.5</v>
      </c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</row>
    <row r="34" spans="1:26" ht="13.5" customHeight="1">
      <c r="A34" s="267"/>
      <c r="B34" s="140"/>
      <c r="C34" s="129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</row>
    <row r="35" spans="1:26" ht="13.5" customHeight="1">
      <c r="A35" s="268" t="s">
        <v>125</v>
      </c>
      <c r="B35" s="145"/>
      <c r="C35" s="143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</row>
    <row r="36" spans="1:26" ht="13.5" customHeight="1">
      <c r="A36" s="265" t="s">
        <v>126</v>
      </c>
      <c r="B36" s="174"/>
      <c r="C36" s="100">
        <f>E23/2</f>
        <v>2025</v>
      </c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 spans="1:26" ht="13.5" customHeight="1">
      <c r="A37" s="265" t="s">
        <v>127</v>
      </c>
      <c r="B37" s="174"/>
      <c r="C37" s="100">
        <f>C36</f>
        <v>2025</v>
      </c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</row>
    <row r="38" spans="1:26" ht="13.5" customHeight="1">
      <c r="A38" s="270"/>
      <c r="B38" s="174"/>
      <c r="C38" s="150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</row>
    <row r="39" spans="1:26" ht="13.5" customHeight="1">
      <c r="A39" s="266" t="s">
        <v>25</v>
      </c>
      <c r="B39" s="174"/>
      <c r="C39" s="102">
        <f>C36+C33</f>
        <v>7392.5</v>
      </c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</row>
    <row r="40" spans="1:26" ht="13.5" customHeight="1">
      <c r="A40" s="270"/>
      <c r="B40" s="174"/>
      <c r="C40" s="150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</row>
    <row r="41" spans="1:26" ht="13.5" customHeight="1">
      <c r="A41" s="264" t="s">
        <v>128</v>
      </c>
      <c r="B41" s="140"/>
      <c r="C41" s="103">
        <f>+C37+C39</f>
        <v>9417.5</v>
      </c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13.5" customHeight="1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 spans="1:26" ht="13.5" customHeight="1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ht="13.5" customHeight="1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 spans="1:26" ht="13.5" customHeight="1">
      <c r="A45" s="56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 spans="1:26" ht="13.5" customHeight="1">
      <c r="A46" s="56"/>
      <c r="B46" s="99"/>
      <c r="C46" s="59"/>
      <c r="D46" s="59"/>
      <c r="E46" s="59"/>
      <c r="F46" s="59"/>
      <c r="G46" s="59"/>
      <c r="H46" s="59"/>
      <c r="I46" s="59"/>
      <c r="J46" s="59"/>
      <c r="K46" s="59"/>
      <c r="L46" s="99"/>
      <c r="M46" s="99"/>
      <c r="N46" s="59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 spans="1:26" ht="13.5" customHeight="1">
      <c r="A47" s="56"/>
      <c r="B47" s="105"/>
      <c r="C47" s="105"/>
      <c r="D47" s="106"/>
      <c r="E47" s="107"/>
      <c r="F47" s="106"/>
      <c r="G47" s="106"/>
      <c r="H47" s="106"/>
      <c r="I47" s="106"/>
      <c r="J47" s="106"/>
      <c r="K47" s="106"/>
      <c r="L47" s="104"/>
      <c r="M47" s="104"/>
      <c r="N47" s="10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 spans="1:26" ht="13.5" customHeight="1">
      <c r="A48" s="56"/>
      <c r="B48" s="105"/>
      <c r="C48" s="105"/>
      <c r="D48" s="106"/>
      <c r="E48" s="107"/>
      <c r="F48" s="106"/>
      <c r="G48" s="106"/>
      <c r="H48" s="106"/>
      <c r="I48" s="106"/>
      <c r="J48" s="106"/>
      <c r="K48" s="106"/>
      <c r="L48" s="104"/>
      <c r="M48" s="104"/>
      <c r="N48" s="10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 spans="1:26" ht="13.5" customHeight="1">
      <c r="A49" s="56"/>
      <c r="B49" s="105"/>
      <c r="C49" s="105"/>
      <c r="D49" s="106"/>
      <c r="E49" s="105"/>
      <c r="F49" s="106"/>
      <c r="G49" s="105"/>
      <c r="H49" s="105"/>
      <c r="I49" s="106"/>
      <c r="J49" s="105"/>
      <c r="K49" s="106"/>
      <c r="L49" s="104"/>
      <c r="M49" s="104"/>
      <c r="N49" s="10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  <row r="50" spans="1:26" ht="13.5" customHeight="1">
      <c r="A50" s="56"/>
      <c r="B50" s="105"/>
      <c r="C50" s="105"/>
      <c r="D50" s="106"/>
      <c r="E50" s="105"/>
      <c r="F50" s="106"/>
      <c r="G50" s="105"/>
      <c r="H50" s="105"/>
      <c r="I50" s="106"/>
      <c r="J50" s="105"/>
      <c r="K50" s="106"/>
      <c r="L50" s="104"/>
      <c r="M50" s="104"/>
      <c r="N50" s="10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</row>
    <row r="51" spans="1:26" ht="13.5" customHeight="1">
      <c r="A51" s="56"/>
      <c r="B51" s="105"/>
      <c r="C51" s="105"/>
      <c r="D51" s="106"/>
      <c r="E51" s="105"/>
      <c r="F51" s="106"/>
      <c r="G51" s="105"/>
      <c r="H51" s="105"/>
      <c r="I51" s="105"/>
      <c r="J51" s="105"/>
      <c r="K51" s="106"/>
      <c r="L51" s="108"/>
      <c r="M51" s="108"/>
      <c r="N51" s="109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</row>
    <row r="52" spans="1:26" ht="13.5" customHeight="1">
      <c r="A52" s="56"/>
      <c r="B52" s="105"/>
      <c r="C52" s="105"/>
      <c r="D52" s="106"/>
      <c r="E52" s="105"/>
      <c r="F52" s="106"/>
      <c r="G52" s="105"/>
      <c r="H52" s="105"/>
      <c r="I52" s="105"/>
      <c r="J52" s="105"/>
      <c r="K52" s="106"/>
      <c r="L52" s="108"/>
      <c r="M52" s="108"/>
      <c r="N52" s="109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</row>
    <row r="53" spans="1:26" ht="13.5" customHeight="1">
      <c r="A53" s="56"/>
      <c r="B53" s="104"/>
      <c r="C53" s="104"/>
      <c r="D53" s="104"/>
      <c r="E53" s="104"/>
      <c r="F53" s="110"/>
      <c r="G53" s="104"/>
      <c r="H53" s="104"/>
      <c r="I53" s="104"/>
      <c r="J53" s="104"/>
      <c r="K53" s="110"/>
      <c r="L53" s="104"/>
      <c r="M53" s="104"/>
      <c r="N53" s="110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 spans="1:26" ht="13.5" customHeight="1">
      <c r="A54" s="56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 spans="1:26" ht="13.5" customHeight="1">
      <c r="A55" s="56"/>
      <c r="B55" s="104"/>
      <c r="C55" s="104"/>
      <c r="D55" s="59"/>
      <c r="E55" s="104"/>
      <c r="F55" s="104"/>
      <c r="G55" s="104"/>
      <c r="H55" s="104"/>
      <c r="I55" s="59"/>
      <c r="J55" s="104"/>
      <c r="K55" s="104"/>
      <c r="L55" s="104"/>
      <c r="M55" s="104"/>
      <c r="N55" s="104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</row>
    <row r="56" spans="1:26" ht="13.5" customHeight="1">
      <c r="A56" s="56"/>
      <c r="B56" s="104"/>
      <c r="C56" s="104"/>
      <c r="D56" s="111"/>
      <c r="E56" s="112"/>
      <c r="F56" s="112"/>
      <c r="G56" s="104"/>
      <c r="H56" s="104"/>
      <c r="I56" s="105"/>
      <c r="J56" s="112"/>
      <c r="K56" s="112"/>
      <c r="L56" s="112"/>
      <c r="M56" s="112"/>
      <c r="N56" s="112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</row>
    <row r="57" spans="1:26" ht="13.5" customHeight="1">
      <c r="A57" s="56"/>
      <c r="B57" s="104"/>
      <c r="C57" s="104"/>
      <c r="D57" s="111"/>
      <c r="E57" s="112"/>
      <c r="F57" s="112"/>
      <c r="G57" s="104"/>
      <c r="H57" s="104"/>
      <c r="I57" s="105"/>
      <c r="J57" s="112"/>
      <c r="K57" s="112"/>
      <c r="L57" s="112"/>
      <c r="M57" s="112"/>
      <c r="N57" s="112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</row>
    <row r="58" spans="1:26" ht="13.5" customHeight="1">
      <c r="A58" s="56"/>
      <c r="B58" s="104"/>
      <c r="C58" s="104"/>
      <c r="D58" s="105"/>
      <c r="E58" s="112"/>
      <c r="F58" s="112"/>
      <c r="G58" s="104"/>
      <c r="H58" s="104"/>
      <c r="I58" s="105"/>
      <c r="J58" s="112"/>
      <c r="K58" s="112"/>
      <c r="L58" s="112"/>
      <c r="M58" s="112"/>
      <c r="N58" s="112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 spans="1:26" ht="13.5" customHeight="1">
      <c r="A59" s="56"/>
      <c r="B59" s="104"/>
      <c r="C59" s="104"/>
      <c r="D59" s="105"/>
      <c r="E59" s="112"/>
      <c r="F59" s="112"/>
      <c r="G59" s="104"/>
      <c r="H59" s="104"/>
      <c r="I59" s="105"/>
      <c r="J59" s="112"/>
      <c r="K59" s="112"/>
      <c r="L59" s="112"/>
      <c r="M59" s="112"/>
      <c r="N59" s="112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 spans="1:26" ht="13.5" customHeight="1">
      <c r="A60" s="56"/>
      <c r="B60" s="104"/>
      <c r="C60" s="104"/>
      <c r="D60" s="105"/>
      <c r="E60" s="112"/>
      <c r="F60" s="112"/>
      <c r="G60" s="104"/>
      <c r="H60" s="104"/>
      <c r="I60" s="105"/>
      <c r="J60" s="112"/>
      <c r="K60" s="112"/>
      <c r="L60" s="112"/>
      <c r="M60" s="112"/>
      <c r="N60" s="112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 spans="1:26" ht="13.5" customHeight="1">
      <c r="A61" s="56"/>
      <c r="B61" s="104"/>
      <c r="C61" s="104"/>
      <c r="D61" s="105"/>
      <c r="E61" s="112"/>
      <c r="F61" s="112"/>
      <c r="G61" s="104"/>
      <c r="H61" s="104"/>
      <c r="I61" s="105"/>
      <c r="J61" s="112"/>
      <c r="K61" s="112"/>
      <c r="L61" s="112"/>
      <c r="M61" s="112"/>
      <c r="N61" s="112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 spans="1:26" ht="13.5" customHeight="1">
      <c r="A62" s="56"/>
      <c r="B62" s="104"/>
      <c r="C62" s="104"/>
      <c r="D62" s="105"/>
      <c r="E62" s="112"/>
      <c r="F62" s="112"/>
      <c r="G62" s="104"/>
      <c r="H62" s="104"/>
      <c r="I62" s="105"/>
      <c r="J62" s="112"/>
      <c r="K62" s="112"/>
      <c r="L62" s="112"/>
      <c r="M62" s="112"/>
      <c r="N62" s="112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ht="13.5" customHeight="1">
      <c r="A63" s="56"/>
      <c r="B63" s="104"/>
      <c r="C63" s="104"/>
      <c r="D63" s="105"/>
      <c r="E63" s="112"/>
      <c r="F63" s="112"/>
      <c r="G63" s="104"/>
      <c r="H63" s="104"/>
      <c r="I63" s="105"/>
      <c r="J63" s="112"/>
      <c r="K63" s="112"/>
      <c r="L63" s="112"/>
      <c r="M63" s="112"/>
      <c r="N63" s="112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13.5" customHeight="1">
      <c r="A64" s="56"/>
      <c r="B64" s="104"/>
      <c r="C64" s="104"/>
      <c r="D64" s="105"/>
      <c r="E64" s="112"/>
      <c r="F64" s="112"/>
      <c r="G64" s="104"/>
      <c r="H64" s="104"/>
      <c r="I64" s="105"/>
      <c r="J64" s="112"/>
      <c r="K64" s="112"/>
      <c r="L64" s="112"/>
      <c r="M64" s="112"/>
      <c r="N64" s="112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 spans="1:26" ht="13.5" customHeight="1">
      <c r="A65" s="56"/>
      <c r="B65" s="104"/>
      <c r="C65" s="104"/>
      <c r="D65" s="105"/>
      <c r="E65" s="112"/>
      <c r="F65" s="112"/>
      <c r="G65" s="104"/>
      <c r="H65" s="104"/>
      <c r="I65" s="105"/>
      <c r="J65" s="112"/>
      <c r="K65" s="112"/>
      <c r="L65" s="112"/>
      <c r="M65" s="112"/>
      <c r="N65" s="112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</row>
    <row r="66" spans="1:26" ht="13.5" customHeight="1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</row>
    <row r="67" spans="1:26" ht="13.5" customHeight="1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</row>
    <row r="68" spans="1:26" ht="13.5" customHeight="1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</row>
    <row r="69" spans="1:26" ht="13.5" customHeight="1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</row>
    <row r="70" spans="1:26" ht="13.5" customHeight="1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</row>
    <row r="71" spans="1:26" ht="13.5" customHeight="1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3.5" customHeight="1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 spans="1:26" ht="13.5" customHeight="1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 spans="1:26" ht="13.5" customHeight="1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 spans="1:26" ht="13.5" customHeight="1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</row>
    <row r="76" spans="1:26" ht="13.5" customHeight="1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</row>
    <row r="77" spans="1:26" ht="13.5" customHeight="1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</row>
    <row r="78" spans="1:26" ht="13.5" customHeight="1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</row>
    <row r="79" spans="1:26" ht="13.5" customHeight="1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</row>
    <row r="80" spans="1:26" ht="13.5" customHeight="1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</row>
    <row r="81" spans="1:26" ht="13.5" customHeight="1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</row>
    <row r="82" spans="1:26" ht="13.5" customHeight="1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</row>
    <row r="83" spans="1:26" ht="13.5" customHeight="1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</row>
    <row r="84" spans="1:26" ht="13.5" customHeight="1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</row>
    <row r="85" spans="1:26" ht="13.5" customHeight="1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ht="13.5" customHeight="1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</row>
    <row r="87" spans="1:26" ht="13.5" customHeight="1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</row>
    <row r="88" spans="1:26" ht="13.5" customHeight="1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</row>
    <row r="89" spans="1:26" ht="13.5" customHeight="1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</row>
    <row r="90" spans="1:26" ht="13.5" customHeight="1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</row>
    <row r="91" spans="1:26" ht="13.5" customHeight="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 spans="1:26" ht="13.5" customHeight="1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3.5" customHeight="1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</row>
    <row r="94" spans="1:26" ht="13.5" customHeight="1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</row>
    <row r="95" spans="1:26" ht="13.5" customHeight="1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</row>
    <row r="96" spans="1:26" ht="13.5" customHeight="1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</row>
    <row r="97" spans="1:26" ht="13.5" customHeight="1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</row>
    <row r="98" spans="1:26" ht="13.5" customHeight="1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</row>
    <row r="99" spans="1:26" ht="13.5" customHeight="1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</row>
    <row r="100" spans="1:26" ht="13.5" customHeight="1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</row>
    <row r="101" spans="1:26" ht="13.5" customHeight="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</row>
    <row r="102" spans="1:26" ht="13.5" customHeight="1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</row>
    <row r="103" spans="1:26" ht="13.5" customHeight="1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</row>
    <row r="104" spans="1:26" ht="13.5" customHeight="1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 spans="1:26" ht="13.5" customHeight="1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</row>
    <row r="106" spans="1:26" ht="13.5" customHeight="1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</row>
    <row r="107" spans="1:26" ht="13.5" customHeight="1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ht="13.5" customHeight="1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</row>
    <row r="109" spans="1:26" ht="13.5" customHeight="1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</row>
    <row r="110" spans="1:26" ht="13.5" customHeight="1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</row>
    <row r="111" spans="1:26" ht="13.5" customHeight="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</row>
    <row r="112" spans="1:26" ht="13.5" customHeight="1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</row>
    <row r="113" spans="1:26" ht="13.5" customHeight="1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</row>
    <row r="114" spans="1:26" ht="13.5" customHeight="1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</row>
    <row r="115" spans="1:26" ht="13.5" customHeight="1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</row>
    <row r="116" spans="1:26" ht="13.5" customHeight="1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</row>
    <row r="117" spans="1:26" ht="13.5" customHeight="1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 spans="1:26" ht="13.5" customHeight="1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</row>
    <row r="119" spans="1:26" ht="13.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</row>
    <row r="120" spans="1:26" ht="13.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</row>
    <row r="121" spans="1:26" ht="13.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</row>
    <row r="122" spans="1:26" ht="13.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</row>
    <row r="123" spans="1:26" ht="13.5" customHeight="1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</row>
    <row r="124" spans="1:26" ht="13.5" customHeight="1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</row>
    <row r="125" spans="1:26" ht="13.5" customHeight="1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</row>
    <row r="126" spans="1:26" ht="13.5" customHeight="1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</row>
    <row r="127" spans="1:26" ht="13.5" customHeight="1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</row>
    <row r="128" spans="1:26" ht="13.5" customHeight="1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</row>
    <row r="129" spans="1:26" ht="13.5" customHeight="1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</row>
    <row r="130" spans="1:26" ht="13.5" customHeight="1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 spans="1:26" ht="13.5" customHeight="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</row>
    <row r="132" spans="1:26" ht="13.5" customHeight="1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</row>
    <row r="133" spans="1:26" ht="13.5" customHeight="1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 spans="1:26" ht="13.5" customHeight="1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 spans="1:26" ht="13.5" customHeight="1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 spans="1:26" ht="13.5" customHeight="1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 spans="1:26" ht="13.5" customHeight="1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 spans="1:26" ht="13.5" customHeight="1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 spans="1:26" ht="13.5" customHeight="1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 spans="1:26" ht="13.5" customHeight="1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 spans="1:26" ht="13.5" customHeight="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 spans="1:26" ht="13.5" customHeight="1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 spans="1:26" ht="13.5" customHeight="1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 spans="1:26" ht="13.5" customHeight="1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 spans="1:26" ht="13.5" customHeight="1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 spans="1:26" ht="13.5" customHeight="1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 spans="1:26" ht="13.5" customHeight="1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 spans="1:26" ht="13.5" customHeight="1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 spans="1:26" ht="13.5" customHeight="1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 spans="1:26" ht="13.5" customHeight="1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 spans="1:26" ht="13.5" customHeight="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 spans="1:26" ht="13.5" customHeight="1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 spans="1:26" ht="13.5" customHeight="1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 spans="1:26" ht="13.5" customHeight="1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 spans="1:26" ht="13.5" customHeight="1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 spans="1:26" ht="13.5" customHeight="1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 spans="1:26" ht="13.5" customHeight="1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 spans="1:26" ht="13.5" customHeight="1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 spans="1:26" ht="13.5" customHeight="1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 spans="1:26" ht="13.5" customHeight="1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 spans="1:26" ht="13.5" customHeight="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 spans="1:26" ht="13.5" customHeight="1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 spans="1:26" ht="13.5" customHeight="1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 spans="1:26" ht="13.5" customHeight="1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 spans="1:26" ht="13.5" customHeight="1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 spans="1:26" ht="13.5" customHeight="1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 spans="1:26" ht="13.5" customHeight="1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 spans="1:26" ht="13.5" customHeight="1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 spans="1:26" ht="13.5" customHeight="1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 spans="1:26" ht="13.5" customHeight="1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 spans="1:26" ht="13.5" customHeight="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 spans="1:26" ht="13.5" customHeight="1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 spans="1:26" ht="13.5" customHeight="1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 spans="1:26" ht="13.5" customHeight="1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 spans="1:26" ht="13.5" customHeight="1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 spans="1:26" ht="13.5" customHeight="1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 spans="1:26" ht="13.5" customHeight="1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 spans="1:26" ht="13.5" customHeight="1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 spans="1:26" ht="13.5" customHeight="1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 spans="1:26" ht="13.5" customHeight="1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 spans="1:26" ht="13.5" customHeight="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 spans="1:26" ht="13.5" customHeight="1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 spans="1:26" ht="13.5" customHeight="1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 spans="1:26" ht="13.5" customHeight="1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 spans="1:26" ht="13.5" customHeight="1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 spans="1:26" ht="13.5" customHeight="1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 spans="1:26" ht="13.5" customHeight="1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 spans="1:26" ht="13.5" customHeight="1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 spans="1:26" ht="13.5" customHeight="1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 spans="1:26" ht="13.5" customHeight="1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 spans="1:26" ht="13.5" customHeight="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 spans="1:26" ht="13.5" customHeight="1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 spans="1:26" ht="13.5" customHeight="1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 spans="1:26" ht="13.5" customHeight="1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 spans="1:26" ht="13.5" customHeight="1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 spans="1:26" ht="13.5" customHeight="1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 spans="1:26" ht="13.5" customHeight="1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 spans="1:26" ht="13.5" customHeight="1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 spans="1:26" ht="13.5" customHeight="1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 spans="1:26" ht="13.5" customHeight="1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 spans="1:26" ht="13.5" customHeight="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 spans="1:26" ht="13.5" customHeight="1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 spans="1:26" ht="13.5" customHeight="1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 spans="1:26" ht="13.5" customHeight="1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 spans="1:26" ht="13.5" customHeight="1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 spans="1:26" ht="13.5" customHeight="1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 spans="1:26" ht="13.5" customHeight="1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 spans="1:26" ht="13.5" customHeight="1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 spans="1:26" ht="13.5" customHeight="1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 spans="1:26" ht="13.5" customHeight="1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 spans="1:26" ht="13.5" customHeight="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 spans="1:26" ht="13.5" customHeight="1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 spans="1:26" ht="13.5" customHeight="1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 spans="1:26" ht="13.5" customHeight="1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 spans="1:26" ht="13.5" customHeight="1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 spans="1:26" ht="13.5" customHeight="1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spans="1:26" ht="13.5" customHeight="1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 spans="1:26" ht="13.5" customHeight="1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 spans="1:26" ht="13.5" customHeight="1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 spans="1:26" ht="13.5" customHeight="1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 spans="1:26" ht="13.5" customHeight="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 spans="1:26" ht="13.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 spans="1:26" ht="13.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 spans="1:26" ht="13.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 spans="1:26" ht="13.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 spans="1:26" ht="13.5" customHeight="1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 spans="1:26" ht="13.5" customHeight="1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 spans="1:26" ht="13.5" customHeight="1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</row>
    <row r="229" spans="1:26" ht="13.5" customHeight="1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</row>
    <row r="230" spans="1:26" ht="13.5" customHeight="1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</row>
    <row r="231" spans="1:26" ht="13.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</row>
    <row r="232" spans="1:26" ht="13.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</row>
    <row r="233" spans="1:26" ht="13.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</row>
    <row r="234" spans="1:26" ht="13.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</row>
    <row r="235" spans="1:26" ht="13.5" customHeight="1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</row>
    <row r="236" spans="1:26" ht="13.5" customHeight="1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</row>
    <row r="237" spans="1:26" ht="13.5" customHeight="1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</row>
    <row r="238" spans="1:26" ht="13.5" customHeight="1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</row>
    <row r="239" spans="1:26" ht="13.5" customHeight="1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</row>
    <row r="240" spans="1:26" ht="13.5" customHeight="1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</row>
    <row r="241" spans="1:26" ht="13.5" customHeight="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</row>
    <row r="242" spans="1:26" ht="13.5" customHeight="1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</row>
    <row r="243" spans="1:26" ht="13.5" customHeight="1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</row>
    <row r="244" spans="1:26" ht="13.5" customHeight="1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</row>
    <row r="245" spans="1:26" ht="13.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</row>
    <row r="246" spans="1:26" ht="13.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</row>
    <row r="247" spans="1:26" ht="13.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</row>
    <row r="248" spans="1:26" ht="13.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</row>
    <row r="249" spans="1:26" ht="13.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</row>
    <row r="250" spans="1:26" ht="13.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</row>
    <row r="251" spans="1:26" ht="13.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</row>
    <row r="252" spans="1:26" ht="13.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</row>
    <row r="253" spans="1:26" ht="13.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</row>
    <row r="254" spans="1:26" ht="13.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</row>
    <row r="255" spans="1:26" ht="13.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</row>
    <row r="256" spans="1:26" ht="13.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</row>
    <row r="257" spans="1:26" ht="13.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</row>
    <row r="258" spans="1:26" ht="13.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</row>
    <row r="259" spans="1:26" ht="13.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</row>
    <row r="260" spans="1:26" ht="13.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</row>
    <row r="261" spans="1:26" ht="13.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</row>
    <row r="262" spans="1:26" ht="13.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</row>
    <row r="263" spans="1:26" ht="13.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</row>
    <row r="264" spans="1:26" ht="13.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</row>
    <row r="265" spans="1:26" ht="13.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</row>
    <row r="266" spans="1:26" ht="13.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</row>
    <row r="267" spans="1:26" ht="13.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</row>
    <row r="268" spans="1:26" ht="13.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</row>
    <row r="269" spans="1:26" ht="13.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</row>
    <row r="270" spans="1:26" ht="13.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</row>
    <row r="271" spans="1:26" ht="13.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</row>
    <row r="272" spans="1:26" ht="13.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</row>
    <row r="273" spans="1:26" ht="13.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</row>
    <row r="274" spans="1:26" ht="13.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</row>
    <row r="275" spans="1:26" ht="13.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</row>
    <row r="276" spans="1:26" ht="13.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</row>
    <row r="277" spans="1:26" ht="13.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</row>
    <row r="278" spans="1:26" ht="13.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</row>
    <row r="279" spans="1:26" ht="13.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</row>
    <row r="280" spans="1:26" ht="13.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</row>
    <row r="281" spans="1:26" ht="13.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</row>
    <row r="282" spans="1:26" ht="13.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</row>
    <row r="283" spans="1:26" ht="13.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</row>
    <row r="284" spans="1:26" ht="13.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</row>
    <row r="285" spans="1:26" ht="13.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</row>
    <row r="286" spans="1:26" ht="13.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</row>
    <row r="287" spans="1:26" ht="13.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</row>
    <row r="288" spans="1:26" ht="13.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</row>
    <row r="289" spans="1:26" ht="13.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</row>
    <row r="290" spans="1:26" ht="13.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</row>
    <row r="291" spans="1:26" ht="13.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</row>
    <row r="292" spans="1:26" ht="13.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</row>
    <row r="293" spans="1:26" ht="13.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</row>
    <row r="294" spans="1:26" ht="13.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</row>
    <row r="295" spans="1:26" ht="13.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</row>
    <row r="296" spans="1:26" ht="13.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</row>
    <row r="297" spans="1:26" ht="13.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</row>
    <row r="298" spans="1:26" ht="13.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</row>
    <row r="299" spans="1:26" ht="13.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</row>
    <row r="300" spans="1:26" ht="13.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</row>
    <row r="301" spans="1:26" ht="13.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</row>
    <row r="302" spans="1:26" ht="13.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</row>
    <row r="303" spans="1:26" ht="13.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</row>
    <row r="304" spans="1:26" ht="13.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</row>
    <row r="305" spans="1:26" ht="13.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</row>
    <row r="306" spans="1:26" ht="13.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</row>
    <row r="307" spans="1:26" ht="13.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</row>
    <row r="308" spans="1:26" ht="13.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</row>
    <row r="309" spans="1:26" ht="13.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</row>
    <row r="310" spans="1:26" ht="13.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</row>
    <row r="311" spans="1:26" ht="13.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</row>
    <row r="312" spans="1:26" ht="13.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</row>
    <row r="313" spans="1:26" ht="13.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</row>
    <row r="314" spans="1:26" ht="13.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</row>
    <row r="315" spans="1:26" ht="13.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</row>
    <row r="316" spans="1:26" ht="13.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</row>
    <row r="317" spans="1:26" ht="13.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</row>
    <row r="318" spans="1:26" ht="13.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</row>
    <row r="319" spans="1:26" ht="13.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</row>
    <row r="320" spans="1:26" ht="13.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</row>
    <row r="321" spans="1:26" ht="13.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</row>
    <row r="322" spans="1:26" ht="13.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</row>
    <row r="323" spans="1:26" ht="13.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</row>
    <row r="324" spans="1:26" ht="13.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</row>
    <row r="325" spans="1:26" ht="13.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</row>
    <row r="326" spans="1:26" ht="13.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</row>
    <row r="327" spans="1:26" ht="13.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</row>
    <row r="328" spans="1:26" ht="13.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</row>
    <row r="329" spans="1:26" ht="13.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</row>
    <row r="330" spans="1:26" ht="13.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</row>
    <row r="331" spans="1:26" ht="13.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</row>
    <row r="332" spans="1:26" ht="13.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</row>
    <row r="333" spans="1:26" ht="13.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</row>
    <row r="334" spans="1:26" ht="13.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</row>
    <row r="335" spans="1:26" ht="13.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</row>
    <row r="336" spans="1:26" ht="13.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</row>
    <row r="337" spans="1:26" ht="13.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</row>
    <row r="338" spans="1:26" ht="13.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</row>
    <row r="339" spans="1:26" ht="13.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</row>
    <row r="340" spans="1:26" ht="13.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</row>
    <row r="341" spans="1:26" ht="13.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</row>
    <row r="342" spans="1:26" ht="13.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</row>
    <row r="343" spans="1:26" ht="13.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</row>
    <row r="344" spans="1:26" ht="13.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</row>
    <row r="345" spans="1:26" ht="13.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</row>
    <row r="346" spans="1:26" ht="13.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</row>
    <row r="347" spans="1:26" ht="13.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</row>
    <row r="348" spans="1:26" ht="13.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</row>
    <row r="349" spans="1:26" ht="13.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</row>
    <row r="350" spans="1:26" ht="13.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</row>
    <row r="351" spans="1:26" ht="13.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</row>
    <row r="352" spans="1:26" ht="13.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</row>
    <row r="353" spans="1:26" ht="13.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</row>
    <row r="354" spans="1:26" ht="13.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</row>
    <row r="355" spans="1:26" ht="13.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</row>
    <row r="356" spans="1:26" ht="13.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</row>
    <row r="357" spans="1:26" ht="13.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 spans="1:26" ht="13.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 spans="1:26" ht="13.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 spans="1:26" ht="13.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 spans="1:26" ht="13.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 spans="1:26" ht="13.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 spans="1:26" ht="13.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 spans="1:26" ht="13.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 spans="1:26" ht="13.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 spans="1:26" ht="13.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 spans="1:26" ht="13.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 spans="1:26" ht="13.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 spans="1:26" ht="13.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 spans="1:26" ht="13.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 spans="1:26" ht="13.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</row>
    <row r="372" spans="1:26" ht="13.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</row>
    <row r="373" spans="1:26" ht="13.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</row>
    <row r="374" spans="1:26" ht="13.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</row>
    <row r="375" spans="1:26" ht="13.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</row>
    <row r="376" spans="1:26" ht="13.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</row>
    <row r="377" spans="1:26" ht="13.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</row>
    <row r="378" spans="1:26" ht="13.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</row>
    <row r="379" spans="1:26" ht="13.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</row>
    <row r="380" spans="1:26" ht="13.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</row>
    <row r="381" spans="1:26" ht="13.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</row>
    <row r="382" spans="1:26" ht="13.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</row>
    <row r="383" spans="1:26" ht="13.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</row>
    <row r="384" spans="1:26" ht="13.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</row>
    <row r="385" spans="1:26" ht="13.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</row>
    <row r="386" spans="1:26" ht="13.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</row>
    <row r="387" spans="1:26" ht="13.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</row>
    <row r="388" spans="1:26" ht="13.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</row>
    <row r="389" spans="1:26" ht="13.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</row>
    <row r="390" spans="1:26" ht="13.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</row>
    <row r="391" spans="1:26" ht="13.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</row>
    <row r="392" spans="1:26" ht="13.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</row>
    <row r="393" spans="1:26" ht="13.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</row>
    <row r="394" spans="1:26" ht="13.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</row>
    <row r="395" spans="1:26" ht="13.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</row>
    <row r="396" spans="1:26" ht="13.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</row>
    <row r="397" spans="1:26" ht="13.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 spans="1:26" ht="13.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 spans="1:26" ht="13.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</row>
    <row r="400" spans="1:26" ht="13.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 spans="1:26" ht="13.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</row>
    <row r="402" spans="1:26" ht="13.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</row>
    <row r="403" spans="1:26" ht="13.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</row>
    <row r="404" spans="1:26" ht="13.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</row>
    <row r="405" spans="1:26" ht="13.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</row>
    <row r="406" spans="1:26" ht="13.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</row>
    <row r="407" spans="1:26" ht="13.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</row>
    <row r="408" spans="1:26" ht="13.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</row>
    <row r="409" spans="1:26" ht="13.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</row>
    <row r="410" spans="1:26" ht="13.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</row>
    <row r="411" spans="1:26" ht="13.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</row>
    <row r="412" spans="1:26" ht="13.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</row>
    <row r="413" spans="1:26" ht="13.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</row>
    <row r="414" spans="1:26" ht="13.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</row>
    <row r="415" spans="1:26" ht="13.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</row>
    <row r="416" spans="1:26" ht="13.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</row>
    <row r="417" spans="1:26" ht="13.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</row>
    <row r="418" spans="1:26" ht="13.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</row>
    <row r="419" spans="1:26" ht="13.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</row>
    <row r="420" spans="1:26" ht="13.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</row>
    <row r="421" spans="1:26" ht="13.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</row>
    <row r="422" spans="1:26" ht="13.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</row>
    <row r="423" spans="1:26" ht="13.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</row>
    <row r="424" spans="1:26" ht="13.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</row>
    <row r="425" spans="1:26" ht="13.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</row>
    <row r="426" spans="1:26" ht="13.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</row>
    <row r="427" spans="1:26" ht="13.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</row>
    <row r="428" spans="1:26" ht="13.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</row>
    <row r="429" spans="1:26" ht="13.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</row>
    <row r="430" spans="1:26" ht="13.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</row>
    <row r="431" spans="1:26" ht="13.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</row>
    <row r="432" spans="1:26" ht="13.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</row>
    <row r="433" spans="1:26" ht="13.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</row>
    <row r="434" spans="1:26" ht="13.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</row>
    <row r="435" spans="1:26" ht="13.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</row>
    <row r="436" spans="1:26" ht="13.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</row>
    <row r="437" spans="1:26" ht="13.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</row>
    <row r="438" spans="1:26" ht="13.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</row>
    <row r="439" spans="1:26" ht="13.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</row>
    <row r="440" spans="1:26" ht="13.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</row>
    <row r="441" spans="1:26" ht="13.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</row>
    <row r="442" spans="1:26" ht="13.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</row>
    <row r="443" spans="1:26" ht="13.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</row>
    <row r="444" spans="1:26" ht="13.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</row>
    <row r="445" spans="1:26" ht="13.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</row>
    <row r="446" spans="1:26" ht="13.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</row>
    <row r="447" spans="1:26" ht="13.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</row>
    <row r="448" spans="1:26" ht="13.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</row>
    <row r="449" spans="1:26" ht="13.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</row>
    <row r="450" spans="1:26" ht="13.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</row>
    <row r="451" spans="1:26" ht="13.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</row>
    <row r="452" spans="1:26" ht="13.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</row>
    <row r="453" spans="1:26" ht="13.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</row>
    <row r="454" spans="1:26" ht="13.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</row>
    <row r="455" spans="1:26" ht="13.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</row>
    <row r="456" spans="1:26" ht="13.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</row>
    <row r="457" spans="1:26" ht="13.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</row>
    <row r="458" spans="1:26" ht="13.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</row>
    <row r="459" spans="1:26" ht="13.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</row>
    <row r="460" spans="1:26" ht="13.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</row>
    <row r="461" spans="1:26" ht="13.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</row>
    <row r="462" spans="1:26" ht="13.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</row>
    <row r="463" spans="1:26" ht="13.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</row>
    <row r="464" spans="1:26" ht="13.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</row>
    <row r="465" spans="1:26" ht="13.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</row>
    <row r="466" spans="1:26" ht="13.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</row>
    <row r="467" spans="1:26" ht="13.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</row>
    <row r="468" spans="1:26" ht="13.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</row>
    <row r="469" spans="1:26" ht="13.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</row>
    <row r="470" spans="1:26" ht="13.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</row>
    <row r="471" spans="1:26" ht="13.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</row>
    <row r="472" spans="1:26" ht="13.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</row>
    <row r="473" spans="1:26" ht="13.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</row>
    <row r="474" spans="1:26" ht="13.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</row>
    <row r="475" spans="1:26" ht="13.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</row>
    <row r="476" spans="1:26" ht="13.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</row>
    <row r="477" spans="1:26" ht="13.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</row>
    <row r="478" spans="1:26" ht="13.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</row>
    <row r="479" spans="1:26" ht="13.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</row>
    <row r="480" spans="1:26" ht="13.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</row>
    <row r="481" spans="1:26" ht="13.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</row>
    <row r="482" spans="1:26" ht="13.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</row>
    <row r="483" spans="1:26" ht="13.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</row>
    <row r="484" spans="1:26" ht="13.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</row>
    <row r="485" spans="1:26" ht="13.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</row>
    <row r="486" spans="1:26" ht="13.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</row>
    <row r="487" spans="1:26" ht="13.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</row>
    <row r="488" spans="1:26" ht="13.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</row>
    <row r="489" spans="1:26" ht="13.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</row>
    <row r="490" spans="1:26" ht="13.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</row>
    <row r="491" spans="1:26" ht="13.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</row>
    <row r="492" spans="1:26" ht="13.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</row>
    <row r="493" spans="1:26" ht="13.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</row>
    <row r="494" spans="1:26" ht="13.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</row>
    <row r="495" spans="1:26" ht="13.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</row>
    <row r="496" spans="1:26" ht="13.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</row>
    <row r="497" spans="1:26" ht="13.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</row>
    <row r="498" spans="1:26" ht="13.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</row>
    <row r="499" spans="1:26" ht="13.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</row>
    <row r="500" spans="1:26" ht="13.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</row>
    <row r="501" spans="1:26" ht="13.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</row>
    <row r="502" spans="1:26" ht="13.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</row>
    <row r="503" spans="1:26" ht="13.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</row>
    <row r="504" spans="1:26" ht="13.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</row>
    <row r="505" spans="1:26" ht="13.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</row>
    <row r="506" spans="1:26" ht="13.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</row>
    <row r="507" spans="1:26" ht="13.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</row>
    <row r="508" spans="1:26" ht="13.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</row>
    <row r="509" spans="1:26" ht="13.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</row>
    <row r="510" spans="1:26" ht="13.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</row>
    <row r="511" spans="1:26" ht="13.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</row>
    <row r="512" spans="1:26" ht="13.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</row>
    <row r="513" spans="1:26" ht="13.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</row>
    <row r="514" spans="1:26" ht="13.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</row>
    <row r="515" spans="1:26" ht="13.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</row>
    <row r="516" spans="1:26" ht="13.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</row>
    <row r="517" spans="1:26" ht="13.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</row>
    <row r="518" spans="1:26" ht="13.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</row>
    <row r="519" spans="1:26" ht="13.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</row>
    <row r="520" spans="1:26" ht="13.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</row>
    <row r="521" spans="1:26" ht="13.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</row>
    <row r="522" spans="1:26" ht="13.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</row>
    <row r="523" spans="1:26" ht="13.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</row>
    <row r="524" spans="1:26" ht="13.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</row>
    <row r="525" spans="1:26" ht="13.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</row>
    <row r="526" spans="1:26" ht="13.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</row>
    <row r="527" spans="1:26" ht="13.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</row>
    <row r="528" spans="1:26" ht="13.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</row>
    <row r="529" spans="1:26" ht="13.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</row>
    <row r="530" spans="1:26" ht="13.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</row>
    <row r="531" spans="1:26" ht="13.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</row>
    <row r="532" spans="1:26" ht="13.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</row>
    <row r="533" spans="1:26" ht="13.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</row>
    <row r="534" spans="1:26" ht="13.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</row>
    <row r="535" spans="1:26" ht="13.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</row>
    <row r="536" spans="1:26" ht="13.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</row>
    <row r="537" spans="1:26" ht="13.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</row>
    <row r="538" spans="1:26" ht="13.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</row>
    <row r="539" spans="1:26" ht="13.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</row>
    <row r="540" spans="1:26" ht="13.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</row>
    <row r="541" spans="1:26" ht="13.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</row>
    <row r="542" spans="1:26" ht="13.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</row>
    <row r="543" spans="1:26" ht="13.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</row>
    <row r="544" spans="1:26" ht="13.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</row>
    <row r="545" spans="1:26" ht="13.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</row>
    <row r="546" spans="1:26" ht="13.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</row>
    <row r="547" spans="1:26" ht="13.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</row>
    <row r="548" spans="1:26" ht="13.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</row>
    <row r="549" spans="1:26" ht="13.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</row>
    <row r="550" spans="1:26" ht="13.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</row>
    <row r="551" spans="1:26" ht="13.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</row>
    <row r="552" spans="1:26" ht="13.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</row>
    <row r="553" spans="1:26" ht="13.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</row>
    <row r="554" spans="1:26" ht="13.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</row>
    <row r="555" spans="1:26" ht="13.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</row>
    <row r="556" spans="1:26" ht="13.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</row>
    <row r="557" spans="1:26" ht="13.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</row>
    <row r="558" spans="1:26" ht="13.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</row>
    <row r="559" spans="1:26" ht="13.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</row>
    <row r="560" spans="1:26" ht="13.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</row>
    <row r="561" spans="1:26" ht="13.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</row>
    <row r="562" spans="1:26" ht="13.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</row>
    <row r="563" spans="1:26" ht="13.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</row>
    <row r="564" spans="1:26" ht="13.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</row>
    <row r="565" spans="1:26" ht="13.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</row>
    <row r="566" spans="1:26" ht="13.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</row>
    <row r="567" spans="1:26" ht="13.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</row>
    <row r="568" spans="1:26" ht="13.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</row>
    <row r="569" spans="1:26" ht="13.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</row>
    <row r="570" spans="1:26" ht="13.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</row>
    <row r="571" spans="1:26" ht="13.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</row>
    <row r="572" spans="1:26" ht="13.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</row>
    <row r="573" spans="1:26" ht="13.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</row>
    <row r="574" spans="1:26" ht="13.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</row>
    <row r="575" spans="1:26" ht="13.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</row>
    <row r="576" spans="1:26" ht="13.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</row>
    <row r="577" spans="1:26" ht="13.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</row>
    <row r="578" spans="1:26" ht="13.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</row>
    <row r="579" spans="1:26" ht="13.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</row>
    <row r="580" spans="1:26" ht="13.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</row>
    <row r="581" spans="1:26" ht="13.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</row>
    <row r="582" spans="1:26" ht="13.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</row>
    <row r="583" spans="1:26" ht="13.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</row>
    <row r="584" spans="1:26" ht="13.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</row>
    <row r="585" spans="1:26" ht="13.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</row>
    <row r="586" spans="1:26" ht="13.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</row>
    <row r="587" spans="1:26" ht="13.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</row>
    <row r="588" spans="1:26" ht="13.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</row>
    <row r="589" spans="1:26" ht="13.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</row>
    <row r="590" spans="1:26" ht="13.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</row>
    <row r="591" spans="1:26" ht="13.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</row>
    <row r="592" spans="1:26" ht="13.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</row>
    <row r="593" spans="1:26" ht="13.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</row>
    <row r="594" spans="1:26" ht="13.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</row>
    <row r="595" spans="1:26" ht="13.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</row>
    <row r="596" spans="1:26" ht="13.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</row>
    <row r="597" spans="1:26" ht="13.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</row>
    <row r="598" spans="1:26" ht="13.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</row>
    <row r="599" spans="1:26" ht="13.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</row>
    <row r="600" spans="1:26" ht="13.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</row>
    <row r="601" spans="1:26" ht="13.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</row>
    <row r="602" spans="1:26" ht="13.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</row>
    <row r="603" spans="1:26" ht="13.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</row>
    <row r="604" spans="1:26" ht="13.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</row>
    <row r="605" spans="1:26" ht="13.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</row>
    <row r="606" spans="1:26" ht="13.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</row>
    <row r="607" spans="1:26" ht="13.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</row>
    <row r="608" spans="1:26" ht="13.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</row>
    <row r="609" spans="1:26" ht="13.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</row>
    <row r="610" spans="1:26" ht="13.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</row>
    <row r="611" spans="1:26" ht="13.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</row>
    <row r="612" spans="1:26" ht="13.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</row>
    <row r="613" spans="1:26" ht="13.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</row>
    <row r="614" spans="1:26" ht="13.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</row>
    <row r="615" spans="1:26" ht="13.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</row>
    <row r="616" spans="1:26" ht="13.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</row>
    <row r="617" spans="1:26" ht="13.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</row>
    <row r="618" spans="1:26" ht="13.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</row>
    <row r="619" spans="1:26" ht="13.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</row>
    <row r="620" spans="1:26" ht="13.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</row>
    <row r="621" spans="1:26" ht="13.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</row>
    <row r="622" spans="1:26" ht="13.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</row>
    <row r="623" spans="1:26" ht="13.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</row>
    <row r="624" spans="1:26" ht="13.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</row>
    <row r="625" spans="1:26" ht="13.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</row>
    <row r="626" spans="1:26" ht="13.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</row>
    <row r="627" spans="1:26" ht="13.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</row>
    <row r="628" spans="1:26" ht="13.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</row>
    <row r="629" spans="1:26" ht="13.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</row>
    <row r="630" spans="1:26" ht="13.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</row>
    <row r="631" spans="1:26" ht="13.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</row>
    <row r="632" spans="1:26" ht="13.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</row>
    <row r="633" spans="1:26" ht="13.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</row>
    <row r="634" spans="1:26" ht="13.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</row>
    <row r="635" spans="1:26" ht="13.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</row>
    <row r="636" spans="1:26" ht="13.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</row>
    <row r="637" spans="1:26" ht="13.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</row>
    <row r="638" spans="1:26" ht="13.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</row>
    <row r="639" spans="1:26" ht="13.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</row>
    <row r="640" spans="1:26" ht="13.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</row>
    <row r="641" spans="1:26" ht="13.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</row>
    <row r="642" spans="1:26" ht="13.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</row>
    <row r="643" spans="1:26" ht="13.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</row>
    <row r="644" spans="1:26" ht="13.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</row>
    <row r="645" spans="1:26" ht="13.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</row>
    <row r="646" spans="1:26" ht="13.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</row>
    <row r="647" spans="1:26" ht="13.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</row>
    <row r="648" spans="1:26" ht="13.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</row>
    <row r="649" spans="1:26" ht="13.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</row>
    <row r="650" spans="1:26" ht="13.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</row>
    <row r="651" spans="1:26" ht="13.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</row>
    <row r="652" spans="1:26" ht="13.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</row>
    <row r="653" spans="1:26" ht="13.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</row>
    <row r="654" spans="1:26" ht="13.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</row>
    <row r="655" spans="1:26" ht="13.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</row>
    <row r="656" spans="1:26" ht="13.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</row>
    <row r="657" spans="1:26" ht="13.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</row>
    <row r="658" spans="1:26" ht="13.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</row>
    <row r="659" spans="1:26" ht="13.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</row>
    <row r="660" spans="1:26" ht="13.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</row>
    <row r="661" spans="1:26" ht="13.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</row>
    <row r="662" spans="1:26" ht="13.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</row>
    <row r="663" spans="1:26" ht="13.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 spans="1:26" ht="13.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 spans="1:26" ht="13.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 spans="1:26" ht="13.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 spans="1:26" ht="13.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</row>
    <row r="668" spans="1:26" ht="13.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</row>
    <row r="669" spans="1:26" ht="13.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</row>
    <row r="670" spans="1:26" ht="13.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</row>
    <row r="671" spans="1:26" ht="13.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</row>
    <row r="672" spans="1:26" ht="13.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</row>
    <row r="673" spans="1:26" ht="13.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</row>
    <row r="674" spans="1:26" ht="13.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</row>
    <row r="675" spans="1:26" ht="13.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</row>
    <row r="676" spans="1:26" ht="13.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</row>
    <row r="677" spans="1:26" ht="13.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</row>
    <row r="678" spans="1:26" ht="13.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 spans="1:26" ht="13.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 spans="1:26" ht="13.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 spans="1:26" ht="13.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 spans="1:26" ht="13.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</row>
    <row r="683" spans="1:26" ht="13.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</row>
    <row r="684" spans="1:26" ht="13.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</row>
    <row r="685" spans="1:26" ht="13.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</row>
    <row r="686" spans="1:26" ht="13.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 spans="1:26" ht="13.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 spans="1:26" ht="13.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 spans="1:26" ht="13.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 spans="1:26" ht="13.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 spans="1:26" ht="13.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 spans="1:26" ht="13.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 spans="1:26" ht="13.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 spans="1:26" ht="13.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 spans="1:26" ht="13.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 spans="1:26" ht="13.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 spans="1:26" ht="13.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</row>
    <row r="698" spans="1:26" ht="13.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</row>
    <row r="699" spans="1:26" ht="13.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</row>
    <row r="700" spans="1:26" ht="13.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</row>
    <row r="701" spans="1:26" ht="13.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</row>
    <row r="702" spans="1:26" ht="13.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</row>
    <row r="703" spans="1:26" ht="13.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</row>
    <row r="704" spans="1:26" ht="13.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</row>
    <row r="705" spans="1:26" ht="13.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</row>
    <row r="706" spans="1:26" ht="13.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</row>
    <row r="707" spans="1:26" ht="13.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</row>
    <row r="708" spans="1:26" ht="13.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</row>
    <row r="709" spans="1:26" ht="13.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</row>
    <row r="710" spans="1:26" ht="13.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</row>
    <row r="711" spans="1:26" ht="13.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</row>
    <row r="712" spans="1:26" ht="13.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</row>
    <row r="713" spans="1:26" ht="13.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</row>
    <row r="714" spans="1:26" ht="13.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</row>
    <row r="715" spans="1:26" ht="13.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</row>
    <row r="716" spans="1:26" ht="13.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</row>
    <row r="717" spans="1:26" ht="13.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</row>
    <row r="718" spans="1:26" ht="13.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</row>
    <row r="719" spans="1:26" ht="13.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</row>
    <row r="720" spans="1:26" ht="13.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</row>
    <row r="721" spans="1:26" ht="13.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</row>
    <row r="722" spans="1:26" ht="13.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</row>
    <row r="723" spans="1:26" ht="13.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</row>
    <row r="724" spans="1:26" ht="13.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</row>
    <row r="725" spans="1:26" ht="13.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</row>
    <row r="726" spans="1:26" ht="13.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</row>
    <row r="727" spans="1:26" ht="13.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</row>
    <row r="728" spans="1:26" ht="13.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</row>
    <row r="729" spans="1:26" ht="13.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</row>
    <row r="730" spans="1:26" ht="13.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</row>
    <row r="731" spans="1:26" ht="13.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</row>
    <row r="732" spans="1:26" ht="13.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</row>
    <row r="733" spans="1:26" ht="13.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</row>
    <row r="734" spans="1:26" ht="13.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</row>
    <row r="735" spans="1:26" ht="13.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</row>
    <row r="736" spans="1:26" ht="13.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</row>
    <row r="737" spans="1:26" ht="13.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</row>
    <row r="738" spans="1:26" ht="13.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</row>
    <row r="739" spans="1:26" ht="13.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</row>
    <row r="740" spans="1:26" ht="13.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</row>
    <row r="741" spans="1:26" ht="13.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</row>
    <row r="742" spans="1:26" ht="13.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</row>
    <row r="743" spans="1:26" ht="13.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</row>
    <row r="744" spans="1:26" ht="13.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</row>
    <row r="745" spans="1:26" ht="13.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</row>
    <row r="746" spans="1:26" ht="13.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</row>
    <row r="747" spans="1:26" ht="13.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</row>
    <row r="748" spans="1:26" ht="13.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</row>
    <row r="749" spans="1:26" ht="13.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</row>
    <row r="750" spans="1:26" ht="13.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</row>
    <row r="751" spans="1:26" ht="13.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</row>
    <row r="752" spans="1:26" ht="13.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</row>
    <row r="753" spans="1:26" ht="13.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</row>
    <row r="754" spans="1:26" ht="13.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</row>
    <row r="755" spans="1:26" ht="13.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</row>
    <row r="756" spans="1:26" ht="13.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</row>
    <row r="757" spans="1:26" ht="13.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</row>
    <row r="758" spans="1:26" ht="13.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</row>
    <row r="759" spans="1:26" ht="13.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</row>
    <row r="760" spans="1:26" ht="13.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</row>
    <row r="761" spans="1:26" ht="13.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</row>
    <row r="762" spans="1:26" ht="13.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</row>
    <row r="763" spans="1:26" ht="13.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</row>
    <row r="764" spans="1:26" ht="13.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</row>
    <row r="765" spans="1:26" ht="13.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</row>
    <row r="766" spans="1:26" ht="13.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</row>
    <row r="767" spans="1:26" ht="13.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</row>
    <row r="768" spans="1:26" ht="13.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</row>
    <row r="769" spans="1:26" ht="13.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</row>
    <row r="770" spans="1:26" ht="13.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</row>
    <row r="771" spans="1:26" ht="13.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</row>
    <row r="772" spans="1:26" ht="13.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</row>
    <row r="773" spans="1:26" ht="13.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</row>
    <row r="774" spans="1:26" ht="13.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</row>
    <row r="775" spans="1:26" ht="13.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</row>
    <row r="776" spans="1:26" ht="13.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</row>
    <row r="777" spans="1:26" ht="13.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</row>
    <row r="778" spans="1:26" ht="13.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</row>
    <row r="779" spans="1:26" ht="13.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</row>
    <row r="780" spans="1:26" ht="13.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</row>
    <row r="781" spans="1:26" ht="13.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</row>
    <row r="782" spans="1:26" ht="13.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</row>
    <row r="783" spans="1:26" ht="13.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</row>
    <row r="784" spans="1:26" ht="13.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</row>
    <row r="785" spans="1:26" ht="13.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</row>
    <row r="786" spans="1:26" ht="13.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</row>
    <row r="787" spans="1:26" ht="13.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</row>
    <row r="788" spans="1:26" ht="13.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</row>
    <row r="789" spans="1:26" ht="13.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</row>
    <row r="790" spans="1:26" ht="13.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</row>
    <row r="791" spans="1:26" ht="13.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</row>
    <row r="792" spans="1:26" ht="13.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</row>
    <row r="793" spans="1:26" ht="13.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</row>
    <row r="794" spans="1:26" ht="13.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</row>
    <row r="795" spans="1:26" ht="13.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</row>
    <row r="796" spans="1:26" ht="13.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</row>
    <row r="797" spans="1:26" ht="13.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</row>
    <row r="798" spans="1:26" ht="13.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</row>
    <row r="799" spans="1:26" ht="13.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</row>
    <row r="800" spans="1:26" ht="13.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</row>
    <row r="801" spans="1:26" ht="13.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</row>
    <row r="802" spans="1:26" ht="13.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</row>
    <row r="803" spans="1:26" ht="13.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</row>
    <row r="804" spans="1:26" ht="13.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</row>
    <row r="805" spans="1:26" ht="13.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</row>
    <row r="806" spans="1:26" ht="13.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</row>
    <row r="807" spans="1:26" ht="13.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</row>
    <row r="808" spans="1:26" ht="13.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</row>
    <row r="809" spans="1:26" ht="13.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</row>
    <row r="810" spans="1:26" ht="13.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</row>
    <row r="811" spans="1:26" ht="13.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</row>
    <row r="812" spans="1:26" ht="13.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</row>
    <row r="813" spans="1:26" ht="13.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</row>
    <row r="814" spans="1:26" ht="13.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</row>
    <row r="815" spans="1:26" ht="13.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</row>
    <row r="816" spans="1:26" ht="13.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</row>
    <row r="817" spans="1:26" ht="13.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</row>
    <row r="818" spans="1:26" ht="13.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</row>
    <row r="819" spans="1:26" ht="13.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</row>
    <row r="820" spans="1:26" ht="13.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</row>
    <row r="821" spans="1:26" ht="13.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</row>
    <row r="822" spans="1:26" ht="13.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</row>
    <row r="823" spans="1:26" ht="13.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</row>
    <row r="824" spans="1:26" ht="13.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</row>
    <row r="825" spans="1:26" ht="13.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</row>
    <row r="826" spans="1:26" ht="13.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</row>
    <row r="827" spans="1:26" ht="13.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</row>
    <row r="828" spans="1:26" ht="13.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</row>
    <row r="829" spans="1:26" ht="13.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</row>
    <row r="830" spans="1:26" ht="13.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</row>
    <row r="831" spans="1:26" ht="13.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</row>
    <row r="832" spans="1:26" ht="13.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</row>
    <row r="833" spans="1:26" ht="13.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</row>
    <row r="834" spans="1:26" ht="13.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</row>
    <row r="835" spans="1:26" ht="13.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</row>
    <row r="836" spans="1:26" ht="13.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</row>
    <row r="837" spans="1:26" ht="13.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</row>
    <row r="838" spans="1:26" ht="13.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</row>
    <row r="839" spans="1:26" ht="13.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</row>
    <row r="840" spans="1:26" ht="13.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</row>
    <row r="841" spans="1:26" ht="13.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</row>
    <row r="842" spans="1:26" ht="13.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</row>
    <row r="843" spans="1:26" ht="13.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</row>
    <row r="844" spans="1:26" ht="13.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</row>
    <row r="845" spans="1:26" ht="13.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</row>
    <row r="846" spans="1:26" ht="13.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</row>
    <row r="847" spans="1:26" ht="13.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</row>
    <row r="848" spans="1:26" ht="13.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</row>
    <row r="849" spans="1:26" ht="13.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</row>
    <row r="850" spans="1:26" ht="13.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</row>
    <row r="851" spans="1:26" ht="13.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</row>
    <row r="852" spans="1:26" ht="13.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</row>
    <row r="853" spans="1:26" ht="13.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</row>
    <row r="854" spans="1:26" ht="13.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</row>
    <row r="855" spans="1:26" ht="13.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</row>
    <row r="856" spans="1:26" ht="13.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</row>
    <row r="857" spans="1:26" ht="13.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</row>
    <row r="858" spans="1:26" ht="13.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</row>
    <row r="859" spans="1:26" ht="13.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</row>
    <row r="860" spans="1:26" ht="13.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</row>
    <row r="861" spans="1:26" ht="13.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</row>
    <row r="862" spans="1:26" ht="13.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</row>
    <row r="863" spans="1:26" ht="13.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</row>
    <row r="864" spans="1:26" ht="13.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</row>
    <row r="865" spans="1:26" ht="13.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</row>
    <row r="866" spans="1:26" ht="13.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</row>
    <row r="867" spans="1:26" ht="13.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</row>
    <row r="868" spans="1:26" ht="13.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</row>
    <row r="869" spans="1:26" ht="13.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</row>
    <row r="870" spans="1:26" ht="13.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</row>
    <row r="871" spans="1:26" ht="13.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</row>
    <row r="872" spans="1:26" ht="13.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</row>
    <row r="873" spans="1:26" ht="13.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</row>
    <row r="874" spans="1:26" ht="13.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</row>
    <row r="875" spans="1:26" ht="13.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</row>
    <row r="876" spans="1:26" ht="13.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</row>
    <row r="877" spans="1:26" ht="13.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</row>
    <row r="878" spans="1:26" ht="13.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</row>
    <row r="879" spans="1:26" ht="13.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</row>
    <row r="880" spans="1:26" ht="13.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</row>
    <row r="881" spans="1:26" ht="13.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</row>
    <row r="882" spans="1:26" ht="13.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</row>
    <row r="883" spans="1:26" ht="13.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</row>
    <row r="884" spans="1:26" ht="13.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</row>
    <row r="885" spans="1:26" ht="13.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</row>
    <row r="886" spans="1:26" ht="13.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</row>
    <row r="887" spans="1:26" ht="13.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</row>
    <row r="888" spans="1:26" ht="13.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</row>
    <row r="889" spans="1:26" ht="13.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</row>
    <row r="890" spans="1:26" ht="13.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</row>
    <row r="891" spans="1:26" ht="13.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</row>
    <row r="892" spans="1:26" ht="13.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</row>
    <row r="893" spans="1:26" ht="13.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</row>
    <row r="894" spans="1:26" ht="13.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</row>
    <row r="895" spans="1:26" ht="13.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</row>
    <row r="896" spans="1:26" ht="13.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</row>
    <row r="897" spans="1:26" ht="13.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</row>
    <row r="898" spans="1:26" ht="13.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</row>
    <row r="899" spans="1:26" ht="13.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</row>
    <row r="900" spans="1:26" ht="13.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</row>
    <row r="901" spans="1:26" ht="13.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</row>
    <row r="902" spans="1:26" ht="13.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</row>
    <row r="903" spans="1:26" ht="13.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</row>
    <row r="904" spans="1:26" ht="13.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</row>
    <row r="905" spans="1:26" ht="13.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</row>
    <row r="906" spans="1:26" ht="13.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</row>
    <row r="907" spans="1:26" ht="13.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</row>
    <row r="908" spans="1:26" ht="13.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</row>
    <row r="909" spans="1:26" ht="13.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</row>
    <row r="910" spans="1:26" ht="13.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</row>
    <row r="911" spans="1:26" ht="13.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</row>
    <row r="912" spans="1:26" ht="13.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</row>
    <row r="913" spans="1:26" ht="13.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</row>
    <row r="914" spans="1:26" ht="13.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</row>
    <row r="915" spans="1:26" ht="13.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</row>
    <row r="916" spans="1:26" ht="13.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</row>
    <row r="917" spans="1:26" ht="13.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</row>
    <row r="918" spans="1:26" ht="13.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</row>
    <row r="919" spans="1:26" ht="13.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</row>
    <row r="920" spans="1:26" ht="13.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</row>
    <row r="921" spans="1:26" ht="13.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</row>
    <row r="922" spans="1:26" ht="13.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</row>
    <row r="923" spans="1:26" ht="13.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</row>
    <row r="924" spans="1:26" ht="13.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</row>
    <row r="925" spans="1:26" ht="13.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</row>
    <row r="926" spans="1:26" ht="13.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</row>
    <row r="927" spans="1:26" ht="13.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</row>
    <row r="928" spans="1:26" ht="13.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</row>
    <row r="929" spans="1:26" ht="13.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</row>
    <row r="930" spans="1:26" ht="13.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</row>
    <row r="931" spans="1:26" ht="13.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</row>
    <row r="932" spans="1:26" ht="13.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</row>
    <row r="933" spans="1:26" ht="13.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</row>
    <row r="934" spans="1:26" ht="13.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</row>
    <row r="935" spans="1:26" ht="13.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</row>
    <row r="936" spans="1:26" ht="13.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</row>
    <row r="937" spans="1:26" ht="13.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</row>
    <row r="938" spans="1:26" ht="13.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</row>
    <row r="939" spans="1:26" ht="13.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</row>
    <row r="940" spans="1:26" ht="13.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</row>
    <row r="941" spans="1:26" ht="13.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</row>
    <row r="942" spans="1:26" ht="13.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</row>
    <row r="943" spans="1:26" ht="13.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</row>
    <row r="944" spans="1:26" ht="13.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</row>
    <row r="945" spans="1:26" ht="13.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</row>
    <row r="946" spans="1:26" ht="13.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</row>
    <row r="947" spans="1:26" ht="13.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</row>
    <row r="948" spans="1:26" ht="13.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</row>
    <row r="949" spans="1:26" ht="13.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</row>
    <row r="950" spans="1:26" ht="13.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</row>
    <row r="951" spans="1:26" ht="13.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</row>
    <row r="952" spans="1:26" ht="13.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</row>
    <row r="953" spans="1:26" ht="13.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</row>
    <row r="954" spans="1:26" ht="13.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</row>
    <row r="955" spans="1:26" ht="13.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</row>
    <row r="956" spans="1:26" ht="13.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</row>
    <row r="957" spans="1:26" ht="13.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</row>
    <row r="958" spans="1:26" ht="13.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</row>
    <row r="959" spans="1:26" ht="13.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</row>
    <row r="960" spans="1:26" ht="13.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</row>
    <row r="961" spans="1:26" ht="13.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</row>
    <row r="962" spans="1:26" ht="13.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</row>
    <row r="963" spans="1:26" ht="13.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</row>
    <row r="964" spans="1:26" ht="13.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</row>
    <row r="965" spans="1:26" ht="13.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</row>
    <row r="966" spans="1:26" ht="13.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</row>
    <row r="967" spans="1:26" ht="13.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</row>
    <row r="968" spans="1:26" ht="13.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</row>
    <row r="969" spans="1:26" ht="13.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</row>
    <row r="970" spans="1:26" ht="13.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</row>
    <row r="971" spans="1:26" ht="13.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</row>
    <row r="972" spans="1:26" ht="13.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</row>
    <row r="973" spans="1:26" ht="13.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</row>
    <row r="974" spans="1:26" ht="13.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</row>
    <row r="975" spans="1:26" ht="13.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</row>
    <row r="976" spans="1:26" ht="13.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</row>
    <row r="977" spans="1:26" ht="13.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</row>
    <row r="978" spans="1:26" ht="13.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</row>
    <row r="979" spans="1:26" ht="13.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</row>
    <row r="980" spans="1:26" ht="13.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</row>
    <row r="981" spans="1:26" ht="13.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</row>
    <row r="982" spans="1:26" ht="13.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</row>
    <row r="983" spans="1:26" ht="13.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</row>
    <row r="984" spans="1:26" ht="13.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</row>
    <row r="985" spans="1:26" ht="13.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</row>
    <row r="986" spans="1:26" ht="13.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</row>
    <row r="987" spans="1:26" ht="13.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</row>
    <row r="988" spans="1:26" ht="13.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</row>
    <row r="989" spans="1:26" ht="13.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</row>
    <row r="990" spans="1:26" ht="13.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</row>
    <row r="991" spans="1:26" ht="13.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</row>
    <row r="992" spans="1:26" ht="13.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</row>
    <row r="993" spans="1:26" ht="13.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</row>
    <row r="994" spans="1:26" ht="13.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</row>
    <row r="995" spans="1:26" ht="13.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</row>
    <row r="996" spans="1:26" ht="13.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</row>
    <row r="997" spans="1:26" ht="13.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</row>
    <row r="998" spans="1:26" ht="13.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</row>
    <row r="999" spans="1:26" ht="13.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</row>
    <row r="1000" spans="1:26" ht="13.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</row>
  </sheetData>
  <mergeCells count="34">
    <mergeCell ref="O10:O11"/>
    <mergeCell ref="J20:K22"/>
    <mergeCell ref="J23:L23"/>
    <mergeCell ref="J12:L12"/>
    <mergeCell ref="A23:D23"/>
    <mergeCell ref="D1:F1"/>
    <mergeCell ref="E6:F6"/>
    <mergeCell ref="E10:E11"/>
    <mergeCell ref="J10:J11"/>
    <mergeCell ref="O12:P12"/>
    <mergeCell ref="E14:H15"/>
    <mergeCell ref="O14:Q16"/>
    <mergeCell ref="A19:F19"/>
    <mergeCell ref="J19:K19"/>
    <mergeCell ref="A12:B12"/>
    <mergeCell ref="E12:G12"/>
    <mergeCell ref="A26:C26"/>
    <mergeCell ref="A27:C27"/>
    <mergeCell ref="A28:B28"/>
    <mergeCell ref="A29:B29"/>
    <mergeCell ref="D29:E29"/>
    <mergeCell ref="A30:B30"/>
    <mergeCell ref="D30:E30"/>
    <mergeCell ref="A38:C38"/>
    <mergeCell ref="A39:B39"/>
    <mergeCell ref="A40:C40"/>
    <mergeCell ref="A41:B41"/>
    <mergeCell ref="A31:B31"/>
    <mergeCell ref="A32:B32"/>
    <mergeCell ref="A33:B33"/>
    <mergeCell ref="A34:C34"/>
    <mergeCell ref="A35:C35"/>
    <mergeCell ref="A36:B36"/>
    <mergeCell ref="A37:B37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B1:AC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25.85546875" customWidth="1"/>
    <col min="4" max="4" width="46.42578125" customWidth="1"/>
    <col min="5" max="5" width="46.85546875" customWidth="1"/>
    <col min="6" max="8" width="25.85546875" customWidth="1"/>
    <col min="9" max="9" width="5.85546875" customWidth="1"/>
    <col min="10" max="10" width="35.5703125" customWidth="1"/>
    <col min="11" max="11" width="25.85546875" customWidth="1"/>
    <col min="12" max="12" width="56.85546875" customWidth="1"/>
    <col min="13" max="13" width="28.140625" customWidth="1"/>
    <col min="14" max="14" width="25.85546875" customWidth="1"/>
    <col min="15" max="15" width="5.85546875" customWidth="1"/>
    <col min="16" max="18" width="25.85546875" customWidth="1"/>
  </cols>
  <sheetData>
    <row r="1" spans="2:29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2:29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2:29" ht="54" customHeight="1">
      <c r="B3" s="173" t="s">
        <v>0</v>
      </c>
      <c r="C3" s="174"/>
      <c r="D3" s="174"/>
      <c r="E3" s="174"/>
      <c r="F3" s="174"/>
      <c r="G3" s="174"/>
      <c r="H3" s="174"/>
      <c r="I3" s="174"/>
      <c r="J3" s="174"/>
      <c r="K3" s="217" t="s">
        <v>41</v>
      </c>
      <c r="L3" s="174"/>
      <c r="M3" s="174"/>
      <c r="N3" s="174"/>
      <c r="O3" s="174"/>
      <c r="P3" s="174"/>
      <c r="Q3" s="174"/>
      <c r="R3" s="174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2:29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2:29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2:29" ht="31.5" customHeight="1">
      <c r="B6" s="176" t="s">
        <v>2</v>
      </c>
      <c r="C6" s="177"/>
      <c r="D6" s="178"/>
      <c r="E6" s="143"/>
      <c r="F6" s="26"/>
      <c r="G6" s="34"/>
      <c r="H6" s="3"/>
      <c r="I6" s="3"/>
      <c r="J6" s="176" t="s">
        <v>3</v>
      </c>
      <c r="K6" s="177"/>
      <c r="L6" s="179" t="s">
        <v>42</v>
      </c>
      <c r="M6" s="143"/>
      <c r="N6" s="3"/>
      <c r="O6" s="3"/>
      <c r="P6" s="3"/>
      <c r="Q6" s="4" t="s">
        <v>5</v>
      </c>
      <c r="R6" s="5">
        <f ca="1">TODAY()</f>
        <v>45987</v>
      </c>
      <c r="S6" s="180"/>
      <c r="T6" s="174"/>
      <c r="U6" s="1"/>
      <c r="V6" s="1"/>
      <c r="W6" s="1"/>
      <c r="X6" s="1"/>
      <c r="Y6" s="1"/>
      <c r="Z6" s="1"/>
      <c r="AA6" s="1"/>
      <c r="AB6" s="1"/>
      <c r="AC6" s="1"/>
    </row>
    <row r="7" spans="2:29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2:29" ht="31.5" customHeight="1">
      <c r="B8" s="328" t="s">
        <v>129</v>
      </c>
      <c r="C8" s="221"/>
      <c r="D8" s="221"/>
      <c r="E8" s="221"/>
      <c r="F8" s="221"/>
      <c r="G8" s="221"/>
      <c r="H8" s="222"/>
      <c r="I8" s="6"/>
      <c r="J8" s="307" t="s">
        <v>130</v>
      </c>
      <c r="K8" s="221"/>
      <c r="L8" s="221"/>
      <c r="M8" s="221"/>
      <c r="N8" s="222"/>
      <c r="O8" s="6"/>
      <c r="P8" s="220" t="s">
        <v>8</v>
      </c>
      <c r="Q8" s="221"/>
      <c r="R8" s="222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2:29" ht="31.5" customHeight="1">
      <c r="B9" s="113" t="s">
        <v>9</v>
      </c>
      <c r="C9" s="114" t="s">
        <v>10</v>
      </c>
      <c r="D9" s="114" t="s">
        <v>131</v>
      </c>
      <c r="E9" s="115" t="s">
        <v>98</v>
      </c>
      <c r="F9" s="114" t="s">
        <v>132</v>
      </c>
      <c r="G9" s="114" t="s">
        <v>133</v>
      </c>
      <c r="H9" s="116" t="s">
        <v>13</v>
      </c>
      <c r="I9" s="10"/>
      <c r="J9" s="117" t="s">
        <v>134</v>
      </c>
      <c r="K9" s="114" t="s">
        <v>103</v>
      </c>
      <c r="L9" s="114" t="s">
        <v>135</v>
      </c>
      <c r="M9" s="114" t="s">
        <v>136</v>
      </c>
      <c r="N9" s="116" t="s">
        <v>13</v>
      </c>
      <c r="O9" s="10"/>
      <c r="P9" s="118"/>
      <c r="Q9" s="119"/>
      <c r="R9" s="120" t="s">
        <v>13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2:29" ht="31.5" customHeight="1">
      <c r="B10" s="310">
        <v>1</v>
      </c>
      <c r="C10" s="235" t="s">
        <v>137</v>
      </c>
      <c r="D10" s="301" t="s">
        <v>138</v>
      </c>
      <c r="E10" s="311" t="s">
        <v>139</v>
      </c>
      <c r="F10" s="301">
        <v>77</v>
      </c>
      <c r="G10" s="235">
        <v>100</v>
      </c>
      <c r="H10" s="302">
        <f>G10*F10</f>
        <v>7700</v>
      </c>
      <c r="I10" s="12"/>
      <c r="J10" s="299">
        <v>425</v>
      </c>
      <c r="K10" s="301">
        <v>650</v>
      </c>
      <c r="L10" s="301">
        <v>950</v>
      </c>
      <c r="M10" s="301">
        <v>650</v>
      </c>
      <c r="N10" s="302">
        <f>SUM(J10:M10)</f>
        <v>2675</v>
      </c>
      <c r="O10" s="12"/>
      <c r="P10" s="295" t="s">
        <v>140</v>
      </c>
      <c r="Q10" s="224"/>
      <c r="R10" s="325">
        <f>H18</f>
        <v>26200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2:29" ht="31.5" customHeight="1">
      <c r="B11" s="300"/>
      <c r="C11" s="191"/>
      <c r="D11" s="191"/>
      <c r="E11" s="194"/>
      <c r="F11" s="191"/>
      <c r="G11" s="191"/>
      <c r="H11" s="303"/>
      <c r="I11" s="12"/>
      <c r="J11" s="300"/>
      <c r="K11" s="191"/>
      <c r="L11" s="191"/>
      <c r="M11" s="191"/>
      <c r="N11" s="303"/>
      <c r="O11" s="12"/>
      <c r="P11" s="149"/>
      <c r="Q11" s="174"/>
      <c r="R11" s="326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2:29" ht="31.5" customHeight="1">
      <c r="B12" s="312">
        <v>2</v>
      </c>
      <c r="C12" s="199" t="s">
        <v>141</v>
      </c>
      <c r="D12" s="313" t="s">
        <v>138</v>
      </c>
      <c r="E12" s="314" t="s">
        <v>142</v>
      </c>
      <c r="F12" s="313">
        <v>59</v>
      </c>
      <c r="G12" s="199">
        <v>100</v>
      </c>
      <c r="H12" s="306">
        <f>G12*F12</f>
        <v>5900</v>
      </c>
      <c r="I12" s="12"/>
      <c r="J12" s="323">
        <v>425</v>
      </c>
      <c r="K12" s="313">
        <v>650</v>
      </c>
      <c r="L12" s="313">
        <v>950</v>
      </c>
      <c r="M12" s="286"/>
      <c r="N12" s="306">
        <f>SUM(J12:M13)</f>
        <v>2025</v>
      </c>
      <c r="O12" s="12"/>
      <c r="P12" s="149"/>
      <c r="Q12" s="174"/>
      <c r="R12" s="326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2:29" ht="31.5" customHeight="1">
      <c r="B13" s="300"/>
      <c r="C13" s="191"/>
      <c r="D13" s="191"/>
      <c r="E13" s="315"/>
      <c r="F13" s="191"/>
      <c r="G13" s="191"/>
      <c r="H13" s="303"/>
      <c r="I13" s="12"/>
      <c r="J13" s="300"/>
      <c r="K13" s="191"/>
      <c r="L13" s="191"/>
      <c r="M13" s="191"/>
      <c r="N13" s="303"/>
      <c r="O13" s="12"/>
      <c r="P13" s="183"/>
      <c r="Q13" s="225"/>
      <c r="R13" s="327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2:29" ht="31.5" customHeight="1">
      <c r="B14" s="310">
        <v>3</v>
      </c>
      <c r="C14" s="235" t="s">
        <v>143</v>
      </c>
      <c r="D14" s="301" t="s">
        <v>144</v>
      </c>
      <c r="E14" s="311" t="s">
        <v>145</v>
      </c>
      <c r="F14" s="301">
        <v>51</v>
      </c>
      <c r="G14" s="235">
        <v>100</v>
      </c>
      <c r="H14" s="302">
        <f>G14*F14</f>
        <v>5100</v>
      </c>
      <c r="I14" s="12"/>
      <c r="J14" s="299">
        <v>425</v>
      </c>
      <c r="K14" s="301">
        <v>650</v>
      </c>
      <c r="L14" s="301">
        <v>950</v>
      </c>
      <c r="M14" s="286"/>
      <c r="N14" s="302">
        <f>SUM(J14:M15)</f>
        <v>2025</v>
      </c>
      <c r="O14" s="12"/>
      <c r="P14" s="295" t="s">
        <v>146</v>
      </c>
      <c r="Q14" s="182"/>
      <c r="R14" s="304">
        <f>N18</f>
        <v>8750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2:29" ht="31.5" customHeight="1">
      <c r="B15" s="300"/>
      <c r="C15" s="191"/>
      <c r="D15" s="191"/>
      <c r="E15" s="194"/>
      <c r="F15" s="191"/>
      <c r="G15" s="191"/>
      <c r="H15" s="303"/>
      <c r="I15" s="12"/>
      <c r="J15" s="300"/>
      <c r="K15" s="191"/>
      <c r="L15" s="191"/>
      <c r="M15" s="191"/>
      <c r="N15" s="303"/>
      <c r="O15" s="12"/>
      <c r="P15" s="149"/>
      <c r="Q15" s="296"/>
      <c r="R15" s="305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2:29" ht="31.5" customHeight="1">
      <c r="B16" s="312">
        <v>4</v>
      </c>
      <c r="C16" s="199" t="s">
        <v>147</v>
      </c>
      <c r="D16" s="313" t="s">
        <v>144</v>
      </c>
      <c r="E16" s="314" t="s">
        <v>148</v>
      </c>
      <c r="F16" s="313">
        <v>75</v>
      </c>
      <c r="G16" s="199">
        <v>100</v>
      </c>
      <c r="H16" s="306">
        <f>G16*F16</f>
        <v>7500</v>
      </c>
      <c r="I16" s="12"/>
      <c r="J16" s="323">
        <v>425</v>
      </c>
      <c r="K16" s="313">
        <v>650</v>
      </c>
      <c r="L16" s="313">
        <v>950</v>
      </c>
      <c r="M16" s="286"/>
      <c r="N16" s="306">
        <f>SUM(J16:M17)</f>
        <v>2025</v>
      </c>
      <c r="O16" s="12"/>
      <c r="P16" s="149"/>
      <c r="Q16" s="296"/>
      <c r="R16" s="305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2:29" ht="31.5" customHeight="1">
      <c r="B17" s="300"/>
      <c r="C17" s="191"/>
      <c r="D17" s="191"/>
      <c r="E17" s="315"/>
      <c r="F17" s="191"/>
      <c r="G17" s="191"/>
      <c r="H17" s="303"/>
      <c r="I17" s="121"/>
      <c r="J17" s="300"/>
      <c r="K17" s="191"/>
      <c r="L17" s="191"/>
      <c r="M17" s="191"/>
      <c r="N17" s="303"/>
      <c r="O17" s="121"/>
      <c r="P17" s="183"/>
      <c r="Q17" s="184"/>
      <c r="R17" s="303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2:29" ht="31.5" customHeight="1">
      <c r="B18" s="316" t="s">
        <v>140</v>
      </c>
      <c r="C18" s="317"/>
      <c r="D18" s="317"/>
      <c r="E18" s="317"/>
      <c r="F18" s="317"/>
      <c r="G18" s="318"/>
      <c r="H18" s="122">
        <f>SUM(H10:H17)</f>
        <v>26200</v>
      </c>
      <c r="I18" s="13"/>
      <c r="J18" s="257" t="s">
        <v>149</v>
      </c>
      <c r="K18" s="140"/>
      <c r="L18" s="140"/>
      <c r="M18" s="140"/>
      <c r="N18" s="123">
        <f>SUM(N10:N17)</f>
        <v>8750</v>
      </c>
      <c r="O18" s="13"/>
      <c r="P18" s="297" t="s">
        <v>25</v>
      </c>
      <c r="Q18" s="298"/>
      <c r="R18" s="124">
        <f>SUM(R10:R17)</f>
        <v>34950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2:29" ht="31.5" customHeight="1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2:29" ht="31.5" customHeight="1">
      <c r="B20" s="319" t="s">
        <v>26</v>
      </c>
      <c r="C20" s="320"/>
      <c r="D20" s="189"/>
      <c r="E20" s="23" t="s">
        <v>9</v>
      </c>
      <c r="F20" s="321"/>
      <c r="G20" s="320"/>
      <c r="H20" s="189"/>
      <c r="I20" s="6"/>
      <c r="J20" s="307" t="s">
        <v>26</v>
      </c>
      <c r="K20" s="222"/>
      <c r="L20" s="38" t="s">
        <v>9</v>
      </c>
      <c r="M20" s="307" t="s">
        <v>27</v>
      </c>
      <c r="N20" s="222"/>
      <c r="O20" s="6"/>
      <c r="P20" s="220" t="s">
        <v>28</v>
      </c>
      <c r="Q20" s="221"/>
      <c r="R20" s="222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2:29" ht="31.5" customHeight="1">
      <c r="B21" s="322" t="s">
        <v>150</v>
      </c>
      <c r="C21" s="224"/>
      <c r="D21" s="182"/>
      <c r="E21" s="190">
        <f>COUNT(B10:B17)</f>
        <v>4</v>
      </c>
      <c r="F21" s="282" t="s">
        <v>151</v>
      </c>
      <c r="G21" s="224"/>
      <c r="H21" s="187"/>
      <c r="I21" s="19"/>
      <c r="J21" s="285" t="s">
        <v>152</v>
      </c>
      <c r="K21" s="182"/>
      <c r="L21" s="199">
        <f>COUNT(J10:J16)</f>
        <v>4</v>
      </c>
      <c r="M21" s="308" t="s">
        <v>153</v>
      </c>
      <c r="N21" s="187"/>
      <c r="O21" s="19"/>
      <c r="P21" s="223"/>
      <c r="Q21" s="224"/>
      <c r="R21" s="187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2:29" ht="31.5" customHeight="1">
      <c r="B22" s="183"/>
      <c r="C22" s="225"/>
      <c r="D22" s="184"/>
      <c r="E22" s="191"/>
      <c r="F22" s="283"/>
      <c r="G22" s="174"/>
      <c r="H22" s="150"/>
      <c r="I22" s="19"/>
      <c r="J22" s="183"/>
      <c r="K22" s="184"/>
      <c r="L22" s="191"/>
      <c r="M22" s="193"/>
      <c r="N22" s="150"/>
      <c r="O22" s="19"/>
      <c r="P22" s="183"/>
      <c r="Q22" s="225"/>
      <c r="R22" s="195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2:29" ht="31.5" customHeight="1">
      <c r="B23" s="291" t="s">
        <v>154</v>
      </c>
      <c r="C23" s="224"/>
      <c r="D23" s="182"/>
      <c r="E23" s="197">
        <f>SUM(G10:G17)</f>
        <v>400</v>
      </c>
      <c r="F23" s="283"/>
      <c r="G23" s="174"/>
      <c r="H23" s="150"/>
      <c r="I23" s="19"/>
      <c r="J23" s="324" t="s">
        <v>155</v>
      </c>
      <c r="K23" s="182"/>
      <c r="L23" s="197">
        <f>COUNT(K10:K16)</f>
        <v>4</v>
      </c>
      <c r="M23" s="193"/>
      <c r="N23" s="150"/>
      <c r="O23" s="19"/>
      <c r="P23" s="229"/>
      <c r="Q23" s="224"/>
      <c r="R23" s="187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2:29" ht="31.5" customHeight="1">
      <c r="B24" s="183"/>
      <c r="C24" s="225"/>
      <c r="D24" s="184"/>
      <c r="E24" s="191"/>
      <c r="F24" s="284"/>
      <c r="G24" s="225"/>
      <c r="H24" s="195"/>
      <c r="I24" s="19"/>
      <c r="J24" s="183"/>
      <c r="K24" s="184"/>
      <c r="L24" s="191"/>
      <c r="M24" s="194"/>
      <c r="N24" s="195"/>
      <c r="O24" s="19"/>
      <c r="P24" s="183"/>
      <c r="Q24" s="225"/>
      <c r="R24" s="195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2:29" ht="31.5" customHeight="1">
      <c r="B25" s="292"/>
      <c r="C25" s="224"/>
      <c r="D25" s="182"/>
      <c r="E25" s="293"/>
      <c r="F25" s="294" t="s">
        <v>156</v>
      </c>
      <c r="G25" s="224"/>
      <c r="H25" s="187"/>
      <c r="I25" s="20"/>
      <c r="J25" s="285" t="s">
        <v>135</v>
      </c>
      <c r="K25" s="182"/>
      <c r="L25" s="199">
        <f>COUNT(L10:L16)</f>
        <v>4</v>
      </c>
      <c r="M25" s="309" t="s">
        <v>157</v>
      </c>
      <c r="N25" s="224"/>
      <c r="O25" s="20"/>
      <c r="P25" s="230"/>
      <c r="Q25" s="224"/>
      <c r="R25" s="187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2:29" ht="31.5" customHeight="1">
      <c r="B26" s="183"/>
      <c r="C26" s="225"/>
      <c r="D26" s="184"/>
      <c r="E26" s="191"/>
      <c r="F26" s="283"/>
      <c r="G26" s="174"/>
      <c r="H26" s="150"/>
      <c r="I26" s="20"/>
      <c r="J26" s="183"/>
      <c r="K26" s="184"/>
      <c r="L26" s="191"/>
      <c r="M26" s="174"/>
      <c r="N26" s="174"/>
      <c r="O26" s="20"/>
      <c r="P26" s="183"/>
      <c r="Q26" s="225"/>
      <c r="R26" s="195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2:29" ht="31.5" customHeight="1">
      <c r="B27" s="292"/>
      <c r="C27" s="224"/>
      <c r="D27" s="182"/>
      <c r="E27" s="286"/>
      <c r="F27" s="283"/>
      <c r="G27" s="174"/>
      <c r="H27" s="150"/>
      <c r="I27" s="20"/>
      <c r="J27" s="324" t="s">
        <v>158</v>
      </c>
      <c r="K27" s="182"/>
      <c r="L27" s="235">
        <f>COUNT(M10:M16)</f>
        <v>1</v>
      </c>
      <c r="M27" s="174"/>
      <c r="N27" s="174"/>
      <c r="O27" s="20"/>
      <c r="P27" s="231"/>
      <c r="Q27" s="224"/>
      <c r="R27" s="187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2:29" ht="31.5" customHeight="1">
      <c r="B28" s="183"/>
      <c r="C28" s="225"/>
      <c r="D28" s="184"/>
      <c r="E28" s="191"/>
      <c r="F28" s="284"/>
      <c r="G28" s="225"/>
      <c r="H28" s="195"/>
      <c r="I28" s="40"/>
      <c r="J28" s="183"/>
      <c r="K28" s="184"/>
      <c r="L28" s="191"/>
      <c r="M28" s="174"/>
      <c r="N28" s="174"/>
      <c r="O28" s="20"/>
      <c r="P28" s="183"/>
      <c r="Q28" s="225"/>
      <c r="R28" s="195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2:29" ht="31.5" customHeight="1">
      <c r="B29" s="292"/>
      <c r="C29" s="224"/>
      <c r="D29" s="182"/>
      <c r="E29" s="286"/>
      <c r="F29" s="287" t="s">
        <v>159</v>
      </c>
      <c r="G29" s="288"/>
      <c r="H29" s="289"/>
      <c r="I29" s="40"/>
      <c r="J29" s="285" t="s">
        <v>160</v>
      </c>
      <c r="K29" s="182"/>
      <c r="L29" s="199">
        <v>0</v>
      </c>
      <c r="M29" s="174"/>
      <c r="N29" s="174"/>
      <c r="O29" s="40"/>
      <c r="P29" s="230"/>
      <c r="Q29" s="224"/>
      <c r="R29" s="187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2:29" ht="31.5" customHeight="1">
      <c r="B30" s="128"/>
      <c r="C30" s="140"/>
      <c r="D30" s="198"/>
      <c r="E30" s="200"/>
      <c r="F30" s="290"/>
      <c r="G30" s="140"/>
      <c r="H30" s="129"/>
      <c r="I30" s="40"/>
      <c r="J30" s="128"/>
      <c r="K30" s="198"/>
      <c r="L30" s="200"/>
      <c r="M30" s="140"/>
      <c r="N30" s="140"/>
      <c r="O30" s="40"/>
      <c r="P30" s="128"/>
      <c r="Q30" s="140"/>
      <c r="R30" s="129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2:29" ht="31.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2:29" ht="31.5" customHeight="1">
      <c r="B32" s="232"/>
      <c r="C32" s="174"/>
      <c r="D32" s="174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2:29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2:29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2:29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2:29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2:29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2:29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2:2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29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2:29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2:29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2:29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2:2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2:29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2:29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2:29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2:29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2:29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2:29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2:29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2:29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2:29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2:2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2:29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2:29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2:29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2:29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2:29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2:29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2:29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2:29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2:29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2:2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2:29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2:29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2:29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2:29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2:29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2:29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2:29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2:29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2:29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2:2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2:29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2:29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2:29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2:29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2:29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2:29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2:29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2:29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2:29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2:2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2:29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2:29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2:29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2:29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2:29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2:29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2:29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2:29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2:29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2:2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2:29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2:29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2:29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2:29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2:29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2:29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2:29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2:29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2:29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2:2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2:29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2:29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2:29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2:29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2:29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2:29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2:29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2:29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2:29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2:2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2:29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2:29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2:29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2:29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2:29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2:29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2:29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2:29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2:29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2: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2:29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2:29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2:29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2:29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2:29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2:29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2:29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2:29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2:29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2:2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2:29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2:29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2:29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2:29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2:29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2:29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2:29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2:29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2:29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2:2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2:29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2:29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2:29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2:29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2:29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2:29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2:29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2:29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2:29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2:2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2:29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2:29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2:29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2:29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2:29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2:29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2:29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2:29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2:29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2:2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2:29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2:29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2:29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2:29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2:29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2:29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2:29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2:29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2:29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2:2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2:29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2:29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2:29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2:29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2:29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2:29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2:29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2:29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2:29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2:2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2:29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2:29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2:29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2:29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2:29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2:29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2:29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2:29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2:29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2:2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2:29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2:29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2:29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2:29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2:29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2:29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2:29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2:29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2:29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2:2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2:29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2:29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2:29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2:29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2:29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2:29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2:29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2:29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2:29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2:2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2:29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2:29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2:29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2:29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2:29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2:29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2:29" ht="15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2:29" ht="15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2:29" ht="15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2:29" ht="15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2:29" ht="15.75" customHeight="1"/>
    <row r="231" spans="2:29" ht="15.75" customHeight="1"/>
    <row r="232" spans="2:29" ht="15.75" customHeight="1"/>
    <row r="233" spans="2:29" ht="15.75" customHeight="1"/>
    <row r="234" spans="2:29" ht="15.75" customHeight="1"/>
    <row r="235" spans="2:29" ht="15.75" customHeight="1"/>
    <row r="236" spans="2:29" ht="15.75" customHeight="1"/>
    <row r="237" spans="2:29" ht="15.75" customHeight="1"/>
    <row r="238" spans="2:29" ht="15.75" customHeight="1"/>
    <row r="239" spans="2:29" ht="15.75" customHeight="1"/>
    <row r="240" spans="2:29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1">
    <mergeCell ref="B3:J3"/>
    <mergeCell ref="K3:R3"/>
    <mergeCell ref="B6:C6"/>
    <mergeCell ref="D6:E6"/>
    <mergeCell ref="J6:K6"/>
    <mergeCell ref="L6:M6"/>
    <mergeCell ref="S6:T6"/>
    <mergeCell ref="H10:H11"/>
    <mergeCell ref="J10:J11"/>
    <mergeCell ref="K10:K11"/>
    <mergeCell ref="L10:L11"/>
    <mergeCell ref="M10:M11"/>
    <mergeCell ref="N10:N11"/>
    <mergeCell ref="P10:Q13"/>
    <mergeCell ref="R10:R13"/>
    <mergeCell ref="M12:M13"/>
    <mergeCell ref="N12:N13"/>
    <mergeCell ref="B8:H8"/>
    <mergeCell ref="J8:N8"/>
    <mergeCell ref="P8:R8"/>
    <mergeCell ref="B10:B11"/>
    <mergeCell ref="C10:C11"/>
    <mergeCell ref="D10:D11"/>
    <mergeCell ref="E10:E11"/>
    <mergeCell ref="G12:G13"/>
    <mergeCell ref="H12:H13"/>
    <mergeCell ref="J12:J13"/>
    <mergeCell ref="K12:K13"/>
    <mergeCell ref="L12:L13"/>
    <mergeCell ref="F10:F11"/>
    <mergeCell ref="G10:G11"/>
    <mergeCell ref="B12:B13"/>
    <mergeCell ref="C12:C13"/>
    <mergeCell ref="D12:D13"/>
    <mergeCell ref="E12:E13"/>
    <mergeCell ref="F12:F13"/>
    <mergeCell ref="B18:G18"/>
    <mergeCell ref="B20:D20"/>
    <mergeCell ref="F20:H20"/>
    <mergeCell ref="B21:D22"/>
    <mergeCell ref="J16:J17"/>
    <mergeCell ref="K16:K17"/>
    <mergeCell ref="J20:K20"/>
    <mergeCell ref="J21:K22"/>
    <mergeCell ref="L21:L22"/>
    <mergeCell ref="L16:L17"/>
    <mergeCell ref="B14:B15"/>
    <mergeCell ref="C14:C15"/>
    <mergeCell ref="D14:D15"/>
    <mergeCell ref="E14:E15"/>
    <mergeCell ref="F14:F15"/>
    <mergeCell ref="G14:G15"/>
    <mergeCell ref="H14:H15"/>
    <mergeCell ref="B16:B17"/>
    <mergeCell ref="C16:C17"/>
    <mergeCell ref="D16:D17"/>
    <mergeCell ref="E16:E17"/>
    <mergeCell ref="F16:F17"/>
    <mergeCell ref="G16:G17"/>
    <mergeCell ref="H16:H17"/>
    <mergeCell ref="P14:Q17"/>
    <mergeCell ref="P18:Q18"/>
    <mergeCell ref="P20:R20"/>
    <mergeCell ref="P21:R22"/>
    <mergeCell ref="P23:R24"/>
    <mergeCell ref="P25:R26"/>
    <mergeCell ref="P27:R28"/>
    <mergeCell ref="P29:R30"/>
    <mergeCell ref="J14:J15"/>
    <mergeCell ref="K14:K15"/>
    <mergeCell ref="L14:L15"/>
    <mergeCell ref="M14:M15"/>
    <mergeCell ref="N14:N15"/>
    <mergeCell ref="R14:R17"/>
    <mergeCell ref="N16:N17"/>
    <mergeCell ref="M16:M17"/>
    <mergeCell ref="J18:M18"/>
    <mergeCell ref="M20:N20"/>
    <mergeCell ref="M21:N24"/>
    <mergeCell ref="L23:L24"/>
    <mergeCell ref="M25:N30"/>
    <mergeCell ref="J23:K24"/>
    <mergeCell ref="J27:K28"/>
    <mergeCell ref="L27:L28"/>
    <mergeCell ref="E21:E22"/>
    <mergeCell ref="F21:H24"/>
    <mergeCell ref="E23:E24"/>
    <mergeCell ref="J25:K26"/>
    <mergeCell ref="L25:L26"/>
    <mergeCell ref="E29:E30"/>
    <mergeCell ref="F29:H30"/>
    <mergeCell ref="B32:R32"/>
    <mergeCell ref="B23:D24"/>
    <mergeCell ref="B25:D26"/>
    <mergeCell ref="E25:E26"/>
    <mergeCell ref="F25:H28"/>
    <mergeCell ref="B27:D28"/>
    <mergeCell ref="E27:E28"/>
    <mergeCell ref="B29:D30"/>
    <mergeCell ref="J29:K30"/>
    <mergeCell ref="L29:L30"/>
  </mergeCells>
  <printOptions horizontalCentered="1"/>
  <pageMargins left="0.25" right="0.25" top="0.75" bottom="0.75" header="0" footer="0"/>
  <pageSetup fitToHeight="0" pageOrder="overThenDown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DEVELOPMENT ONLY</vt:lpstr>
      <vt:lpstr>ACTIVEWEAR DEVELOPMENT</vt:lpstr>
      <vt:lpstr>DEV &amp; INSPECTION</vt:lpstr>
      <vt:lpstr>INSPECTION ONLY</vt:lpstr>
      <vt:lpstr>ADDITIONAL SAMPLES</vt:lpstr>
      <vt:lpstr>A LA CARTE</vt:lpstr>
      <vt:lpstr>PRODUCTION</vt:lpstr>
      <vt:lpstr>BLANKS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ESTÊVÃO SANTOS CAVALCANTE</cp:lastModifiedBy>
  <dcterms:created xsi:type="dcterms:W3CDTF">2024-04-04T17:06:43Z</dcterms:created>
  <dcterms:modified xsi:type="dcterms:W3CDTF">2025-11-26T19:17:13Z</dcterms:modified>
</cp:coreProperties>
</file>