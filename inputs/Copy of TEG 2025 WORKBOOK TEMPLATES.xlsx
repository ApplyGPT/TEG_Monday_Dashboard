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E7C8EBBA-E1C9-4502-821D-2BF37EAF4C5D}" xr6:coauthVersionLast="47" xr6:coauthVersionMax="47" xr10:uidLastSave="{00000000-0000-0000-0000-000000000000}"/>
  <bookViews>
    <workbookView xWindow="-24120" yWindow="-1200" windowWidth="24240" windowHeight="13290" activeTab="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D31" i="1" l="1"/>
  <c r="D31" i="9"/>
  <c r="Q35" i="9"/>
  <c r="Q33" i="9"/>
  <c r="Q31" i="9"/>
  <c r="Q29" i="9"/>
  <c r="Q27" i="9"/>
  <c r="Q25" i="9"/>
  <c r="Q23" i="9"/>
  <c r="AA16" i="9"/>
  <c r="AA6" i="9"/>
  <c r="F10" i="9"/>
  <c r="L10" i="9"/>
  <c r="W10" i="9"/>
  <c r="F12" i="9"/>
  <c r="F20" i="9" s="1"/>
  <c r="AA10" i="9" s="1"/>
  <c r="L12" i="9"/>
  <c r="L20" i="9" s="1"/>
  <c r="AA14" i="9" s="1"/>
  <c r="W12" i="9"/>
  <c r="F14" i="9"/>
  <c r="L14" i="9"/>
  <c r="W14" i="9"/>
  <c r="F16" i="9"/>
  <c r="L16" i="9"/>
  <c r="W16" i="9"/>
  <c r="F18" i="9"/>
  <c r="L18" i="9"/>
  <c r="W18" i="9"/>
  <c r="W20" i="9"/>
  <c r="AA12" i="9" s="1"/>
  <c r="J23" i="9"/>
  <c r="J25" i="9"/>
  <c r="J27" i="9"/>
  <c r="J29" i="9"/>
  <c r="K12" i="6"/>
  <c r="K10" i="6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O23" i="6"/>
  <c r="O21" i="6"/>
  <c r="O19" i="6"/>
  <c r="O17" i="6"/>
  <c r="Q12" i="6"/>
  <c r="F12" i="6"/>
  <c r="Q10" i="6"/>
  <c r="Q14" i="6" s="1"/>
  <c r="U12" i="6" s="1"/>
  <c r="H10" i="6"/>
  <c r="F10" i="6"/>
  <c r="I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AA20" i="9" l="1"/>
  <c r="K14" i="6"/>
  <c r="U10" i="6" s="1"/>
  <c r="U14" i="6" s="1"/>
  <c r="L20" i="1"/>
  <c r="P12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<sst xmlns="http://schemas.openxmlformats.org/spreadsheetml/2006/main" count="451" uniqueCount="168">
  <si>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</si>
  <si>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</si>
  <si>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</si>
  <si>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</si>
  <si>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</si>
  <si>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</si>
  <si>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</si>
  <si>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</si>
  <si>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</si>
  <si>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</si>
  <si>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</si>
  <si>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</si>
  <si>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</si>
  <si>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</si>
  <si>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</si>
  <si>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</si>
  <si>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</si>
  <si>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</si>
  <si>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</si>
  <si>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</si>
  <si>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</si>
  <si>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</si>
  <si>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</si>
  <si>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</si>
  <si>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</si>
  <si>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</si>
  <si>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</si>
  <si>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</si>
  <si>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</si>
  <si>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</si>
  <si>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</si>
  <si>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</si>
  <si>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</si>
  <si>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</si>
  <si>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</si>
  <si>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</si>
  <si>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</si>
  <si>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</si>
  <si>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</si>
  <si>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</si>
  <si>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</si>
  <si>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</si>
  <si>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</si>
  <si>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</si>
  <si>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</si>
  <si>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</si>
  <si>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</si>
  <si>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</si>
  <si>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</si>
  <si>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</si>
  <si>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</si>
  <si>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</si>
  <si>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</si>
  <si>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</si>
  <si>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</si>
  <si>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</si>
  <si>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</si>
  <si>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</si>
  <si>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</si>
  <si>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</si>
  <si>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</si>
  <si>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</si>
  <si>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</si>
  <si>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</si>
  <si>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</si>
  <si>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</si>
  <si>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</si>
  <si>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</si>
  <si>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</si>
  <si>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</si>
  <si>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</si>
  <si>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</si>
  <si>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</si>
  <si>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</si>
  <si>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</si>
  <si>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</si>
  <si>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</si>
  <si>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</si>
  <si>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</si>
  <si>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</si>
  <si>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</si>
  <si>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</si>
  <si>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</si>
  <si>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</si>
  <si>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</si>
  <si>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</si>
  <si>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</si>
  <si>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</si>
  <si>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</si>
  <si>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</si>
  <si>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</si>
  <si>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</si>
  <si>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</si>
  <si>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</si>
  <si>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</si>
  <si>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</si>
  <si>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</si>
  <si>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</si>
  <si>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</si>
  <si>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</si>
  <si>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</si>
  <si>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</si>
  <si>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</si>
  <si>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</si>
  <si>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</si>
  <si>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</si>
  <si>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</si>
  <si>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</si>
  <si>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</si>
  <si>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</si>
  <si>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</si>
  <si>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</si>
  <si>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</si>
  <si>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</si>
  <si>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</si>
  <si>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</si>
  <si>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</si>
  <si>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</si>
  <si>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</si>
  <si>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</si>
  <si>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</si>
  <si>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</si>
  <si>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</si>
  <si>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</si>
  <si>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</si>
  <si>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</si>
  <si>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</si>
  <si>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</si>
  <si>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</si>
  <si>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</si>
  <si>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</si>
  <si>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</si>
  <si>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</si>
  <si>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</si>
  <si>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</si>
  <si>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</si>
  <si>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</si>
  <si>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</si>
  <si>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</si>
  <si>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</si>
  <si>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</si>
  <si>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</si>
  <si>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</si>
  <si>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</si>
  <si>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</si>
  <si>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</si>
  <si>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</si>
  <si>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</si>
  <si>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</si>
  <si>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</si>
  <si>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FITTING AND ADJUSTMENTS</t>
  </si>
  <si>
    <t>WEDDING GOWN #2</t>
  </si>
  <si>
    <t>DUPLICATES</t>
  </si>
  <si>
    <t>SAMPLE $90/HOUR</t>
  </si>
  <si>
    <t>$90/HOUR</t>
  </si>
  <si>
    <t xml:space="preserve">
</t>
  </si>
  <si>
    <t xml:space="preserve">**DEVELOPMENT DOES NOT INCLUDE: GRADING, MARKING, FABRIC OR TRIM COSTS, TREATMENTS, SHIPPING, OR BULK PRODUCTION INVENTORY	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</si>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</sst>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63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9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8" fillId="0" borderId="77"/>
  </cellStyleXfs>
  <cellXfs count="4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2" borderId="5" xfId="0" applyFont="1" applyFill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3" fillId="10" borderId="5" xfId="0" applyFont="1" applyFill="1" applyBorder="1" applyAlignment="1">
      <alignment horizontal="left" vertical="center"/>
    </xf>
    <xf numFmtId="0" fontId="24" fillId="0" borderId="0" xfId="0" applyFont="1"/>
    <xf numFmtId="0" fontId="23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5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14" fontId="26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65" fontId="27" fillId="0" borderId="0" xfId="0" applyNumberFormat="1" applyFont="1" applyAlignment="1">
      <alignment horizontal="center" vertical="center"/>
    </xf>
    <xf numFmtId="166" fontId="28" fillId="0" borderId="0" xfId="0" applyNumberFormat="1" applyFont="1" applyAlignment="1">
      <alignment horizontal="center" vertical="center"/>
    </xf>
    <xf numFmtId="167" fontId="28" fillId="0" borderId="0" xfId="0" applyNumberFormat="1" applyFont="1" applyAlignment="1">
      <alignment horizontal="center" vertical="center"/>
    </xf>
    <xf numFmtId="0" fontId="31" fillId="11" borderId="5" xfId="0" applyFont="1" applyFill="1" applyBorder="1" applyAlignment="1">
      <alignment horizontal="center" vertical="center" wrapText="1"/>
    </xf>
    <xf numFmtId="0" fontId="32" fillId="8" borderId="43" xfId="0" applyFont="1" applyFill="1" applyBorder="1" applyAlignment="1">
      <alignment horizontal="center" vertical="center" wrapText="1"/>
    </xf>
    <xf numFmtId="0" fontId="25" fillId="11" borderId="5" xfId="0" applyFont="1" applyFill="1" applyBorder="1" applyAlignment="1">
      <alignment horizontal="center" vertical="center" wrapText="1"/>
    </xf>
    <xf numFmtId="165" fontId="31" fillId="11" borderId="5" xfId="0" applyNumberFormat="1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6" fillId="8" borderId="5" xfId="0" applyFont="1" applyFill="1" applyBorder="1" applyAlignment="1">
      <alignment horizontal="center" vertical="center"/>
    </xf>
    <xf numFmtId="164" fontId="26" fillId="8" borderId="5" xfId="0" applyNumberFormat="1" applyFont="1" applyFill="1" applyBorder="1" applyAlignment="1">
      <alignment horizontal="center" vertical="center"/>
    </xf>
    <xf numFmtId="0" fontId="27" fillId="8" borderId="43" xfId="0" applyFont="1" applyFill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9" fontId="33" fillId="0" borderId="5" xfId="0" applyNumberFormat="1" applyFont="1" applyBorder="1" applyAlignment="1">
      <alignment horizontal="center" vertical="center"/>
    </xf>
    <xf numFmtId="164" fontId="34" fillId="0" borderId="5" xfId="0" applyNumberFormat="1" applyFont="1" applyBorder="1" applyAlignment="1">
      <alignment horizontal="center" vertical="center"/>
    </xf>
    <xf numFmtId="166" fontId="27" fillId="0" borderId="0" xfId="0" applyNumberFormat="1" applyFont="1" applyAlignment="1">
      <alignment horizontal="center" vertical="center"/>
    </xf>
    <xf numFmtId="9" fontId="33" fillId="8" borderId="5" xfId="0" applyNumberFormat="1" applyFont="1" applyFill="1" applyBorder="1" applyAlignment="1">
      <alignment horizontal="center" vertical="center"/>
    </xf>
    <xf numFmtId="164" fontId="26" fillId="0" borderId="5" xfId="0" applyNumberFormat="1" applyFont="1" applyBorder="1" applyAlignment="1">
      <alignment horizontal="center" vertical="center"/>
    </xf>
    <xf numFmtId="0" fontId="26" fillId="5" borderId="5" xfId="0" applyFont="1" applyFill="1" applyBorder="1" applyAlignment="1">
      <alignment horizontal="center" vertical="center"/>
    </xf>
    <xf numFmtId="164" fontId="26" fillId="5" borderId="5" xfId="0" applyNumberFormat="1" applyFont="1" applyFill="1" applyBorder="1" applyAlignment="1">
      <alignment horizontal="center" vertical="center"/>
    </xf>
    <xf numFmtId="9" fontId="33" fillId="5" borderId="5" xfId="0" applyNumberFormat="1" applyFont="1" applyFill="1" applyBorder="1" applyAlignment="1">
      <alignment horizontal="center" vertical="center"/>
    </xf>
    <xf numFmtId="164" fontId="34" fillId="5" borderId="5" xfId="0" applyNumberFormat="1" applyFont="1" applyFill="1" applyBorder="1" applyAlignment="1">
      <alignment horizontal="center" vertical="center"/>
    </xf>
    <xf numFmtId="164" fontId="35" fillId="9" borderId="5" xfId="0" applyNumberFormat="1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7" fillId="0" borderId="0" xfId="0" applyFont="1" applyAlignment="1">
      <alignment vertical="center" wrapText="1"/>
    </xf>
    <xf numFmtId="0" fontId="31" fillId="11" borderId="5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28" fillId="0" borderId="0" xfId="0" applyFont="1" applyAlignment="1">
      <alignment horizontal="center" vertical="center" wrapText="1"/>
    </xf>
    <xf numFmtId="168" fontId="26" fillId="0" borderId="5" xfId="0" applyNumberFormat="1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165" fontId="38" fillId="9" borderId="44" xfId="0" applyNumberFormat="1" applyFont="1" applyFill="1" applyBorder="1" applyAlignment="1">
      <alignment horizontal="center" vertical="center"/>
    </xf>
    <xf numFmtId="166" fontId="26" fillId="0" borderId="45" xfId="0" applyNumberFormat="1" applyFont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168" fontId="41" fillId="9" borderId="5" xfId="0" applyNumberFormat="1" applyFont="1" applyFill="1" applyBorder="1" applyAlignment="1">
      <alignment horizontal="center" vertical="center"/>
    </xf>
    <xf numFmtId="165" fontId="42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9" fontId="26" fillId="9" borderId="46" xfId="0" applyNumberFormat="1" applyFont="1" applyFill="1" applyBorder="1" applyAlignment="1">
      <alignment horizontal="center" vertical="center"/>
    </xf>
    <xf numFmtId="169" fontId="44" fillId="12" borderId="46" xfId="0" applyNumberFormat="1" applyFont="1" applyFill="1" applyBorder="1" applyAlignment="1">
      <alignment horizontal="center" vertical="center"/>
    </xf>
    <xf numFmtId="169" fontId="45" fillId="13" borderId="46" xfId="0" applyNumberFormat="1" applyFont="1" applyFill="1" applyBorder="1" applyAlignment="1">
      <alignment horizontal="center" vertical="center"/>
    </xf>
    <xf numFmtId="169" fontId="25" fillId="14" borderId="42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4" fontId="37" fillId="0" borderId="0" xfId="0" applyNumberFormat="1" applyFont="1" applyAlignment="1">
      <alignment vertical="center"/>
    </xf>
    <xf numFmtId="9" fontId="37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164" fontId="47" fillId="0" borderId="0" xfId="0" applyNumberFormat="1" applyFont="1" applyAlignment="1">
      <alignment vertical="center"/>
    </xf>
    <xf numFmtId="164" fontId="28" fillId="0" borderId="0" xfId="0" applyNumberFormat="1" applyFont="1" applyAlignment="1">
      <alignment horizontal="center" vertical="center"/>
    </xf>
    <xf numFmtId="3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0" fontId="5" fillId="0" borderId="77" xfId="0" applyFont="1" applyBorder="1"/>
    <xf numFmtId="0" fontId="11" fillId="0" borderId="77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3" xfId="0" applyNumberFormat="1" applyFont="1" applyFill="1" applyBorder="1" applyAlignment="1">
      <alignment horizontal="left" vertical="center"/>
    </xf>
    <xf numFmtId="0" fontId="1" fillId="0" borderId="77" xfId="0" applyFont="1" applyBorder="1"/>
    <xf numFmtId="0" fontId="4" fillId="8" borderId="77" xfId="0" applyFont="1" applyFill="1" applyBorder="1" applyAlignment="1">
      <alignment vertical="center"/>
    </xf>
    <xf numFmtId="0" fontId="48" fillId="0" borderId="77" xfId="1"/>
    <xf numFmtId="0" fontId="1" fillId="0" borderId="77" xfId="1" applyFont="1"/>
    <xf numFmtId="0" fontId="51" fillId="0" borderId="77" xfId="1" applyFont="1" applyAlignment="1">
      <alignment vertical="center"/>
    </xf>
    <xf numFmtId="0" fontId="9" fillId="0" borderId="77" xfId="1" applyFont="1"/>
    <xf numFmtId="0" fontId="55" fillId="0" borderId="77" xfId="1" applyFont="1"/>
    <xf numFmtId="0" fontId="54" fillId="4" borderId="5" xfId="1" applyFont="1" applyFill="1" applyBorder="1" applyAlignment="1">
      <alignment horizontal="center" vertical="center"/>
    </xf>
    <xf numFmtId="0" fontId="57" fillId="0" borderId="77" xfId="1" applyFont="1" applyAlignment="1">
      <alignment vertical="center"/>
    </xf>
    <xf numFmtId="0" fontId="54" fillId="3" borderId="5" xfId="1" applyFont="1" applyFill="1" applyBorder="1" applyAlignment="1">
      <alignment horizontal="center" vertical="center"/>
    </xf>
    <xf numFmtId="0" fontId="50" fillId="0" borderId="77" xfId="1" applyFont="1" applyAlignment="1">
      <alignment vertical="center"/>
    </xf>
    <xf numFmtId="0" fontId="58" fillId="0" borderId="77" xfId="1" applyFont="1" applyAlignment="1">
      <alignment vertical="center"/>
    </xf>
    <xf numFmtId="0" fontId="58" fillId="0" borderId="77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4" fillId="4" borderId="5" xfId="1" applyNumberFormat="1" applyFont="1" applyFill="1" applyBorder="1" applyAlignment="1">
      <alignment horizontal="center" vertical="center"/>
    </xf>
    <xf numFmtId="164" fontId="54" fillId="3" borderId="5" xfId="1" applyNumberFormat="1" applyFont="1" applyFill="1" applyBorder="1" applyAlignment="1">
      <alignment horizontal="center" vertical="center"/>
    </xf>
    <xf numFmtId="0" fontId="57" fillId="7" borderId="77" xfId="1" applyFont="1" applyFill="1" applyAlignment="1">
      <alignment vertical="center"/>
    </xf>
    <xf numFmtId="0" fontId="59" fillId="7" borderId="77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4" fillId="5" borderId="5" xfId="1" applyFont="1" applyFill="1" applyBorder="1" applyAlignment="1">
      <alignment horizontal="center" vertical="center"/>
    </xf>
    <xf numFmtId="0" fontId="57" fillId="0" borderId="77" xfId="1" applyFont="1" applyAlignment="1">
      <alignment horizontal="center" vertical="center"/>
    </xf>
    <xf numFmtId="0" fontId="54" fillId="5" borderId="5" xfId="1" applyFont="1" applyFill="1" applyBorder="1" applyAlignment="1">
      <alignment horizontal="left" vertical="center"/>
    </xf>
    <xf numFmtId="0" fontId="57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7" xfId="1" applyFont="1"/>
    <xf numFmtId="0" fontId="61" fillId="0" borderId="6" xfId="1" applyFont="1" applyBorder="1" applyAlignment="1">
      <alignment horizontal="center" vertical="center"/>
    </xf>
    <xf numFmtId="0" fontId="62" fillId="0" borderId="77" xfId="1" applyFont="1" applyAlignment="1">
      <alignment vertical="center"/>
    </xf>
    <xf numFmtId="0" fontId="59" fillId="0" borderId="77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80" xfId="0" applyFont="1" applyFill="1" applyBorder="1"/>
    <xf numFmtId="0" fontId="5" fillId="18" borderId="81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82" xfId="0" applyFont="1" applyFill="1" applyBorder="1" applyAlignment="1">
      <alignment horizontal="left"/>
    </xf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8" fillId="0" borderId="8" xfId="0" applyFont="1" applyBorder="1" applyAlignment="1">
      <alignment horizontal="left" vertical="center" wrapText="1"/>
    </xf>
    <xf numFmtId="0" fontId="8" fillId="5" borderId="7" xfId="0" applyFont="1" applyFill="1" applyBorder="1" applyAlignment="1">
      <alignment horizontal="center" vertical="center"/>
    </xf>
    <xf numFmtId="0" fontId="5" fillId="0" borderId="10" xfId="0" applyFont="1" applyBorder="1"/>
    <xf numFmtId="0" fontId="4" fillId="4" borderId="1" xfId="0" applyFont="1" applyFill="1" applyBorder="1" applyAlignment="1">
      <alignment horizontal="left" vertical="center"/>
    </xf>
    <xf numFmtId="0" fontId="5" fillId="0" borderId="4" xfId="0" applyFont="1" applyBorder="1"/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164" fontId="8" fillId="19" borderId="7" xfId="0" applyNumberFormat="1" applyFont="1" applyFill="1" applyBorder="1" applyAlignment="1">
      <alignment horizontal="center" vertical="center"/>
    </xf>
    <xf numFmtId="0" fontId="5" fillId="18" borderId="10" xfId="0" applyFont="1" applyFill="1" applyBorder="1"/>
    <xf numFmtId="164" fontId="8" fillId="18" borderId="7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0" fontId="8" fillId="7" borderId="7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5" borderId="8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9" fontId="8" fillId="18" borderId="7" xfId="0" applyNumberFormat="1" applyFont="1" applyFill="1" applyBorder="1" applyAlignment="1">
      <alignment horizontal="center" vertical="center"/>
    </xf>
    <xf numFmtId="3" fontId="8" fillId="5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left" vertical="center"/>
    </xf>
    <xf numFmtId="0" fontId="4" fillId="0" borderId="84" xfId="0" applyFont="1" applyBorder="1" applyAlignment="1">
      <alignment horizontal="left" vertical="center"/>
    </xf>
    <xf numFmtId="0" fontId="5" fillId="0" borderId="85" xfId="0" applyFont="1" applyBorder="1"/>
    <xf numFmtId="0" fontId="8" fillId="1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8" fillId="19" borderId="7" xfId="0" applyFont="1" applyFill="1" applyBorder="1" applyAlignment="1">
      <alignment horizontal="left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0" fontId="4" fillId="8" borderId="8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8" fillId="19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9" fontId="8" fillId="0" borderId="7" xfId="0" applyNumberFormat="1" applyFont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52" fillId="7" borderId="38" xfId="1" applyFont="1" applyFill="1" applyBorder="1" applyAlignment="1">
      <alignment horizontal="left" vertical="center"/>
    </xf>
    <xf numFmtId="0" fontId="49" fillId="0" borderId="10" xfId="1" applyFont="1" applyBorder="1"/>
    <xf numFmtId="164" fontId="52" fillId="7" borderId="38" xfId="1" applyNumberFormat="1" applyFont="1" applyFill="1" applyBorder="1" applyAlignment="1">
      <alignment horizontal="center" vertical="center"/>
    </xf>
    <xf numFmtId="9" fontId="52" fillId="7" borderId="38" xfId="1" applyNumberFormat="1" applyFont="1" applyFill="1" applyBorder="1" applyAlignment="1">
      <alignment horizontal="center" vertical="center"/>
    </xf>
    <xf numFmtId="0" fontId="4" fillId="17" borderId="34" xfId="1" applyFont="1" applyFill="1" applyBorder="1" applyAlignment="1">
      <alignment horizontal="left" vertical="center"/>
    </xf>
    <xf numFmtId="0" fontId="49" fillId="18" borderId="36" xfId="1" applyFont="1" applyFill="1" applyBorder="1"/>
    <xf numFmtId="0" fontId="49" fillId="18" borderId="35" xfId="1" applyFont="1" applyFill="1" applyBorder="1"/>
    <xf numFmtId="0" fontId="49" fillId="18" borderId="65" xfId="1" applyFont="1" applyFill="1" applyBorder="1"/>
    <xf numFmtId="0" fontId="49" fillId="18" borderId="79" xfId="1" applyFont="1" applyFill="1" applyBorder="1"/>
    <xf numFmtId="0" fontId="49" fillId="18" borderId="42" xfId="1" applyFont="1" applyFill="1" applyBorder="1"/>
    <xf numFmtId="0" fontId="50" fillId="7" borderId="7" xfId="1" applyFont="1" applyFill="1" applyBorder="1" applyAlignment="1">
      <alignment horizontal="center" vertical="center"/>
    </xf>
    <xf numFmtId="0" fontId="52" fillId="7" borderId="7" xfId="1" applyFont="1" applyFill="1" applyBorder="1" applyAlignment="1">
      <alignment horizontal="center" vertical="center"/>
    </xf>
    <xf numFmtId="0" fontId="52" fillId="7" borderId="38" xfId="1" applyFont="1" applyFill="1" applyBorder="1" applyAlignment="1">
      <alignment horizontal="center" vertical="center"/>
    </xf>
    <xf numFmtId="0" fontId="54" fillId="7" borderId="1" xfId="1" applyFont="1" applyFill="1" applyBorder="1" applyAlignment="1">
      <alignment horizontal="left" vertical="center"/>
    </xf>
    <xf numFmtId="0" fontId="49" fillId="0" borderId="6" xfId="1" applyFont="1" applyBorder="1"/>
    <xf numFmtId="0" fontId="49" fillId="0" borderId="4" xfId="1" applyFont="1" applyBorder="1"/>
    <xf numFmtId="0" fontId="54" fillId="3" borderId="1" xfId="1" applyFont="1" applyFill="1" applyBorder="1" applyAlignment="1">
      <alignment horizontal="left" vertical="center"/>
    </xf>
    <xf numFmtId="0" fontId="50" fillId="8" borderId="7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164" fontId="52" fillId="7" borderId="7" xfId="1" applyNumberFormat="1" applyFont="1" applyFill="1" applyBorder="1" applyAlignment="1">
      <alignment horizontal="center" vertical="center"/>
    </xf>
    <xf numFmtId="0" fontId="54" fillId="7" borderId="34" xfId="1" applyFont="1" applyFill="1" applyBorder="1" applyAlignment="1">
      <alignment horizontal="left" vertical="center"/>
    </xf>
    <xf numFmtId="0" fontId="49" fillId="0" borderId="35" xfId="1" applyFont="1" applyBorder="1"/>
    <xf numFmtId="0" fontId="49" fillId="0" borderId="65" xfId="1" applyFont="1" applyBorder="1"/>
    <xf numFmtId="0" fontId="49" fillId="0" borderId="42" xfId="1" applyFont="1" applyBorder="1"/>
    <xf numFmtId="164" fontId="52" fillId="20" borderId="7" xfId="1" applyNumberFormat="1" applyFont="1" applyFill="1" applyBorder="1" applyAlignment="1">
      <alignment horizontal="left" vertical="center"/>
    </xf>
    <xf numFmtId="0" fontId="1" fillId="0" borderId="77" xfId="1" applyFont="1"/>
    <xf numFmtId="0" fontId="48" fillId="0" borderId="77" xfId="1"/>
    <xf numFmtId="0" fontId="4" fillId="10" borderId="1" xfId="1" applyFont="1" applyFill="1" applyBorder="1" applyAlignment="1">
      <alignment vertical="center"/>
    </xf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50" fillId="3" borderId="7" xfId="1" applyNumberFormat="1" applyFont="1" applyFill="1" applyBorder="1" applyAlignment="1">
      <alignment horizontal="left" vertical="center"/>
    </xf>
    <xf numFmtId="164" fontId="50" fillId="10" borderId="7" xfId="1" applyNumberFormat="1" applyFont="1" applyFill="1" applyBorder="1" applyAlignment="1">
      <alignment horizontal="left" vertical="center"/>
    </xf>
    <xf numFmtId="0" fontId="15" fillId="0" borderId="77" xfId="1" applyFont="1" applyAlignment="1">
      <alignment horizontal="left"/>
    </xf>
    <xf numFmtId="0" fontId="49" fillId="0" borderId="2" xfId="1" applyFont="1" applyBorder="1"/>
    <xf numFmtId="0" fontId="60" fillId="0" borderId="3" xfId="1" applyFont="1" applyBorder="1" applyAlignment="1">
      <alignment horizontal="center" vertical="center"/>
    </xf>
    <xf numFmtId="0" fontId="54" fillId="2" borderId="1" xfId="1" applyFont="1" applyFill="1" applyBorder="1" applyAlignment="1">
      <alignment horizontal="center" vertical="center"/>
    </xf>
    <xf numFmtId="0" fontId="60" fillId="0" borderId="6" xfId="1" applyFont="1" applyBorder="1" applyAlignment="1">
      <alignment horizontal="center" vertical="center"/>
    </xf>
    <xf numFmtId="0" fontId="49" fillId="0" borderId="89" xfId="1" applyFont="1" applyBorder="1"/>
    <xf numFmtId="0" fontId="52" fillId="0" borderId="6" xfId="1" applyFont="1" applyBorder="1" applyAlignment="1">
      <alignment horizontal="center" vertical="center"/>
    </xf>
    <xf numFmtId="0" fontId="2" fillId="0" borderId="77" xfId="1" applyFont="1" applyAlignment="1">
      <alignment horizontal="right"/>
    </xf>
    <xf numFmtId="0" fontId="54" fillId="4" borderId="1" xfId="1" applyFont="1" applyFill="1" applyBorder="1" applyAlignment="1">
      <alignment horizontal="left" vertical="center"/>
    </xf>
    <xf numFmtId="0" fontId="4" fillId="19" borderId="34" xfId="1" applyFont="1" applyFill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50" fillId="7" borderId="34" xfId="1" applyFont="1" applyFill="1" applyBorder="1" applyAlignment="1">
      <alignment horizontal="center" vertical="center"/>
    </xf>
    <xf numFmtId="0" fontId="49" fillId="0" borderId="36" xfId="1" applyFont="1" applyBorder="1"/>
    <xf numFmtId="0" fontId="49" fillId="0" borderId="79" xfId="1" applyFont="1" applyBorder="1"/>
    <xf numFmtId="0" fontId="50" fillId="7" borderId="34" xfId="1" applyFont="1" applyFill="1" applyBorder="1" applyAlignment="1">
      <alignment horizontal="center" vertical="center" wrapText="1"/>
    </xf>
    <xf numFmtId="0" fontId="49" fillId="0" borderId="14" xfId="1" applyFont="1" applyBorder="1"/>
    <xf numFmtId="0" fontId="49" fillId="0" borderId="78" xfId="1" applyFont="1" applyBorder="1"/>
    <xf numFmtId="0" fontId="4" fillId="0" borderId="34" xfId="1" applyFont="1" applyBorder="1" applyAlignment="1">
      <alignment horizontal="left" vertical="center" wrapText="1"/>
    </xf>
    <xf numFmtId="164" fontId="50" fillId="4" borderId="7" xfId="1" applyNumberFormat="1" applyFont="1" applyFill="1" applyBorder="1" applyAlignment="1">
      <alignment horizontal="left" vertical="center"/>
    </xf>
    <xf numFmtId="0" fontId="52" fillId="5" borderId="38" xfId="1" applyFont="1" applyFill="1" applyBorder="1" applyAlignment="1">
      <alignment horizontal="center" vertical="center"/>
    </xf>
    <xf numFmtId="0" fontId="54" fillId="5" borderId="34" xfId="1" applyFont="1" applyFill="1" applyBorder="1" applyAlignment="1">
      <alignment horizontal="center" vertical="center"/>
    </xf>
    <xf numFmtId="3" fontId="50" fillId="19" borderId="7" xfId="1" applyNumberFormat="1" applyFont="1" applyFill="1" applyBorder="1" applyAlignment="1">
      <alignment horizontal="center" vertical="center"/>
    </xf>
    <xf numFmtId="0" fontId="49" fillId="18" borderId="10" xfId="1" applyFont="1" applyFill="1" applyBorder="1"/>
    <xf numFmtId="0" fontId="56" fillId="0" borderId="34" xfId="1" applyFont="1" applyBorder="1" applyAlignment="1">
      <alignment horizontal="left" vertical="center" wrapText="1"/>
    </xf>
    <xf numFmtId="0" fontId="54" fillId="3" borderId="6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vertical="center"/>
    </xf>
    <xf numFmtId="0" fontId="54" fillId="4" borderId="6" xfId="1" applyFont="1" applyFill="1" applyBorder="1" applyAlignment="1">
      <alignment horizontal="left" vertical="center"/>
    </xf>
    <xf numFmtId="0" fontId="50" fillId="19" borderId="34" xfId="1" applyFont="1" applyFill="1" applyBorder="1" applyAlignment="1">
      <alignment horizontal="center" vertical="center"/>
    </xf>
    <xf numFmtId="3" fontId="50" fillId="19" borderId="34" xfId="1" applyNumberFormat="1" applyFont="1" applyFill="1" applyBorder="1" applyAlignment="1">
      <alignment horizontal="center" vertical="center"/>
    </xf>
    <xf numFmtId="0" fontId="50" fillId="17" borderId="34" xfId="1" applyFont="1" applyFill="1" applyBorder="1" applyAlignment="1">
      <alignment horizontal="center" vertical="center"/>
    </xf>
    <xf numFmtId="0" fontId="53" fillId="5" borderId="34" xfId="1" applyFont="1" applyFill="1" applyBorder="1" applyAlignment="1">
      <alignment horizontal="center" vertical="center"/>
    </xf>
    <xf numFmtId="0" fontId="53" fillId="7" borderId="34" xfId="1" applyFont="1" applyFill="1" applyBorder="1" applyAlignment="1">
      <alignment horizontal="center" vertical="center"/>
    </xf>
    <xf numFmtId="0" fontId="52" fillId="0" borderId="38" xfId="1" applyFont="1" applyBorder="1" applyAlignment="1">
      <alignment horizontal="center" vertical="center"/>
    </xf>
    <xf numFmtId="0" fontId="54" fillId="0" borderId="1" xfId="1" applyFont="1" applyBorder="1" applyAlignment="1">
      <alignment horizontal="left" vertical="center"/>
    </xf>
    <xf numFmtId="0" fontId="50" fillId="0" borderId="34" xfId="1" applyFont="1" applyBorder="1" applyAlignment="1">
      <alignment horizontal="left" vertical="center" wrapText="1"/>
    </xf>
    <xf numFmtId="0" fontId="54" fillId="7" borderId="34" xfId="1" applyFont="1" applyFill="1" applyBorder="1" applyAlignment="1">
      <alignment horizontal="center" vertical="center"/>
    </xf>
    <xf numFmtId="0" fontId="50" fillId="17" borderId="7" xfId="1" applyFont="1" applyFill="1" applyBorder="1" applyAlignment="1">
      <alignment horizontal="center" vertical="center"/>
    </xf>
    <xf numFmtId="0" fontId="50" fillId="17" borderId="10" xfId="1" applyFont="1" applyFill="1" applyBorder="1" applyAlignment="1">
      <alignment horizontal="center" vertical="center"/>
    </xf>
    <xf numFmtId="3" fontId="50" fillId="19" borderId="10" xfId="1" applyNumberFormat="1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5" fillId="0" borderId="35" xfId="0" applyFont="1" applyBorder="1"/>
    <xf numFmtId="0" fontId="18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0" xfId="0" applyFont="1"/>
    <xf numFmtId="0" fontId="4" fillId="5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8" fillId="0" borderId="20" xfId="0" applyFont="1" applyBorder="1" applyAlignment="1">
      <alignment horizontal="center" vertical="center"/>
    </xf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8" fillId="5" borderId="8" xfId="0" applyFont="1" applyFill="1" applyBorder="1" applyAlignment="1">
      <alignment horizontal="left" vertical="center"/>
    </xf>
    <xf numFmtId="0" fontId="17" fillId="0" borderId="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7" fillId="5" borderId="8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3" fontId="8" fillId="5" borderId="8" xfId="0" applyNumberFormat="1" applyFont="1" applyFill="1" applyBorder="1" applyAlignment="1">
      <alignment horizontal="left" vertical="center"/>
    </xf>
    <xf numFmtId="0" fontId="5" fillId="0" borderId="77" xfId="0" applyFont="1" applyBorder="1"/>
    <xf numFmtId="0" fontId="5" fillId="0" borderId="78" xfId="0" applyFont="1" applyBorder="1"/>
    <xf numFmtId="0" fontId="8" fillId="8" borderId="87" xfId="0" applyFont="1" applyFill="1" applyBorder="1" applyAlignment="1">
      <alignment horizontal="left" vertical="center" wrapText="1"/>
    </xf>
    <xf numFmtId="0" fontId="5" fillId="0" borderId="86" xfId="0" applyFont="1" applyBorder="1"/>
    <xf numFmtId="0" fontId="5" fillId="0" borderId="88" xfId="0" applyFont="1" applyBorder="1"/>
    <xf numFmtId="0" fontId="0" fillId="0" borderId="77" xfId="0" applyBorder="1"/>
    <xf numFmtId="0" fontId="8" fillId="7" borderId="8" xfId="0" applyFont="1" applyFill="1" applyBorder="1" applyAlignment="1">
      <alignment horizontal="left" vertical="center"/>
    </xf>
    <xf numFmtId="0" fontId="5" fillId="0" borderId="79" xfId="0" applyFont="1" applyBorder="1"/>
    <xf numFmtId="3" fontId="8" fillId="5" borderId="7" xfId="0" applyNumberFormat="1" applyFont="1" applyFill="1" applyBorder="1" applyAlignment="1">
      <alignment horizontal="left" vertical="center"/>
    </xf>
    <xf numFmtId="0" fontId="8" fillId="18" borderId="7" xfId="0" applyFont="1" applyFill="1" applyBorder="1" applyAlignment="1">
      <alignment vertical="center"/>
    </xf>
    <xf numFmtId="164" fontId="8" fillId="19" borderId="10" xfId="0" applyNumberFormat="1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23" fillId="10" borderId="1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169" fontId="25" fillId="0" borderId="11" xfId="0" applyNumberFormat="1" applyFont="1" applyBorder="1" applyAlignment="1">
      <alignment horizontal="right" vertical="center"/>
    </xf>
    <xf numFmtId="169" fontId="26" fillId="0" borderId="14" xfId="0" applyNumberFormat="1" applyFont="1" applyBorder="1" applyAlignment="1">
      <alignment horizontal="right" vertical="center"/>
    </xf>
    <xf numFmtId="169" fontId="25" fillId="0" borderId="14" xfId="0" applyNumberFormat="1" applyFont="1" applyBorder="1" applyAlignment="1">
      <alignment horizontal="right" vertical="center"/>
    </xf>
    <xf numFmtId="169" fontId="26" fillId="0" borderId="11" xfId="0" applyNumberFormat="1" applyFont="1" applyBorder="1" applyAlignment="1">
      <alignment horizontal="center" vertical="center"/>
    </xf>
    <xf numFmtId="169" fontId="25" fillId="5" borderId="1" xfId="0" applyNumberFormat="1" applyFont="1" applyFill="1" applyBorder="1" applyAlignment="1">
      <alignment horizontal="right" vertical="center"/>
    </xf>
    <xf numFmtId="0" fontId="43" fillId="0" borderId="0" xfId="0" applyFont="1" applyAlignment="1">
      <alignment horizontal="center" vertical="center"/>
    </xf>
    <xf numFmtId="169" fontId="26" fillId="0" borderId="14" xfId="0" applyNumberFormat="1" applyFont="1" applyBorder="1" applyAlignment="1">
      <alignment horizontal="center" vertical="center"/>
    </xf>
    <xf numFmtId="164" fontId="26" fillId="0" borderId="7" xfId="0" applyNumberFormat="1" applyFont="1" applyBorder="1" applyAlignment="1">
      <alignment horizontal="center" vertical="center"/>
    </xf>
    <xf numFmtId="0" fontId="31" fillId="10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right" vertical="center"/>
    </xf>
    <xf numFmtId="0" fontId="31" fillId="0" borderId="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/>
    </xf>
    <xf numFmtId="0" fontId="31" fillId="11" borderId="1" xfId="0" applyFont="1" applyFill="1" applyBorder="1" applyAlignment="1">
      <alignment horizontal="center" vertical="center"/>
    </xf>
    <xf numFmtId="168" fontId="26" fillId="0" borderId="8" xfId="0" applyNumberFormat="1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164" fontId="8" fillId="5" borderId="55" xfId="0" applyNumberFormat="1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4" fillId="3" borderId="3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opLeftCell="A6" zoomScale="40" zoomScaleNormal="40" workbookViewId="0">
      <selection activeCell="D31" sqref="D31:D32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5" t="s">
        <v>1</v>
      </c>
      <c r="K3" s="214"/>
      <c r="L3" s="214"/>
      <c r="M3" s="214"/>
      <c r="N3" s="214"/>
      <c r="O3" s="214"/>
      <c r="P3" s="214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16" t="s">
        <v>2</v>
      </c>
      <c r="C6" s="217"/>
      <c r="D6" s="218"/>
      <c r="E6" s="175"/>
      <c r="F6" s="3"/>
      <c r="G6" s="3"/>
      <c r="H6" s="216" t="s">
        <v>3</v>
      </c>
      <c r="I6" s="217"/>
      <c r="J6" s="219" t="s">
        <v>4</v>
      </c>
      <c r="K6" s="175"/>
      <c r="L6" s="3"/>
      <c r="M6" s="3"/>
      <c r="N6" s="3"/>
      <c r="O6" s="4" t="s">
        <v>5</v>
      </c>
      <c r="P6" s="5">
        <f ca="1">TODAY()</f>
        <v>46001</v>
      </c>
      <c r="Q6" s="220"/>
      <c r="R6" s="214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94" t="s">
        <v>6</v>
      </c>
      <c r="C8" s="183"/>
      <c r="D8" s="183"/>
      <c r="E8" s="183"/>
      <c r="F8" s="175"/>
      <c r="G8" s="6"/>
      <c r="H8" s="174" t="s">
        <v>7</v>
      </c>
      <c r="I8" s="183"/>
      <c r="J8" s="183"/>
      <c r="K8" s="183"/>
      <c r="L8" s="175"/>
      <c r="M8" s="6"/>
      <c r="N8" s="182" t="s">
        <v>8</v>
      </c>
      <c r="O8" s="183"/>
      <c r="P8" s="175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207"/>
      <c r="O9" s="175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01">
        <v>101</v>
      </c>
      <c r="C10" s="195" t="s">
        <v>18</v>
      </c>
      <c r="D10" s="181">
        <v>2325</v>
      </c>
      <c r="E10" s="196"/>
      <c r="F10" s="181">
        <f>(D10*E10)+D10</f>
        <v>2325</v>
      </c>
      <c r="G10" s="123"/>
      <c r="H10" s="181"/>
      <c r="I10" s="181"/>
      <c r="J10" s="181">
        <v>1330</v>
      </c>
      <c r="K10" s="181"/>
      <c r="L10" s="181">
        <f>SUM(H10:K10)</f>
        <v>1330</v>
      </c>
      <c r="M10" s="123"/>
      <c r="N10" s="208" t="s">
        <v>19</v>
      </c>
      <c r="O10" s="209"/>
      <c r="P10" s="202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80"/>
      <c r="C11" s="180"/>
      <c r="D11" s="180"/>
      <c r="E11" s="180"/>
      <c r="F11" s="180"/>
      <c r="G11" s="123"/>
      <c r="H11" s="180"/>
      <c r="I11" s="180"/>
      <c r="J11" s="180"/>
      <c r="K11" s="180"/>
      <c r="L11" s="180"/>
      <c r="M11" s="123"/>
      <c r="N11" s="210"/>
      <c r="O11" s="211"/>
      <c r="P11" s="17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03">
        <v>102</v>
      </c>
      <c r="C12" s="203" t="s">
        <v>20</v>
      </c>
      <c r="D12" s="179">
        <v>2325</v>
      </c>
      <c r="E12" s="204">
        <v>0.75</v>
      </c>
      <c r="F12" s="179">
        <f>(D12*E12)+D12</f>
        <v>4068.75</v>
      </c>
      <c r="G12" s="123"/>
      <c r="H12" s="179">
        <v>1330</v>
      </c>
      <c r="I12" s="179">
        <v>1330</v>
      </c>
      <c r="J12" s="179"/>
      <c r="K12" s="179"/>
      <c r="L12" s="179">
        <f>SUM(H12:K12)</f>
        <v>2660</v>
      </c>
      <c r="M12" s="123"/>
      <c r="N12" s="212" t="s">
        <v>21</v>
      </c>
      <c r="O12" s="209"/>
      <c r="P12" s="198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80"/>
      <c r="C13" s="180"/>
      <c r="D13" s="180"/>
      <c r="E13" s="180"/>
      <c r="F13" s="180"/>
      <c r="G13" s="123"/>
      <c r="H13" s="180"/>
      <c r="I13" s="180"/>
      <c r="J13" s="180"/>
      <c r="K13" s="180"/>
      <c r="L13" s="180"/>
      <c r="M13" s="123"/>
      <c r="N13" s="210"/>
      <c r="O13" s="211"/>
      <c r="P13" s="17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201">
        <v>103</v>
      </c>
      <c r="C14" s="195" t="s">
        <v>22</v>
      </c>
      <c r="D14" s="181">
        <v>2325</v>
      </c>
      <c r="E14" s="196"/>
      <c r="F14" s="181">
        <f>(D14*E14)+D14</f>
        <v>2325</v>
      </c>
      <c r="G14" s="124"/>
      <c r="H14" s="181"/>
      <c r="I14" s="181"/>
      <c r="J14" s="181">
        <v>1330</v>
      </c>
      <c r="K14" s="181"/>
      <c r="L14" s="181">
        <f>SUM(H14:K14)</f>
        <v>1330</v>
      </c>
      <c r="M14" s="124"/>
      <c r="N14" s="159" t="s">
        <v>148</v>
      </c>
      <c r="O14" s="160"/>
      <c r="P14" s="163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80"/>
      <c r="C15" s="180"/>
      <c r="D15" s="180"/>
      <c r="E15" s="180"/>
      <c r="F15" s="180"/>
      <c r="G15" s="124"/>
      <c r="H15" s="180"/>
      <c r="I15" s="180"/>
      <c r="J15" s="180"/>
      <c r="K15" s="180"/>
      <c r="L15" s="180"/>
      <c r="M15" s="124"/>
      <c r="N15" s="161"/>
      <c r="O15" s="162"/>
      <c r="P15" s="164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03">
        <v>104</v>
      </c>
      <c r="C16" s="203" t="s">
        <v>23</v>
      </c>
      <c r="D16" s="179">
        <v>2325</v>
      </c>
      <c r="E16" s="204">
        <v>0.25</v>
      </c>
      <c r="F16" s="179">
        <f>(D16*E16)+D16</f>
        <v>2906.25</v>
      </c>
      <c r="G16" s="124"/>
      <c r="H16" s="179">
        <v>1330</v>
      </c>
      <c r="I16" s="221"/>
      <c r="J16" s="179"/>
      <c r="K16" s="179">
        <v>760</v>
      </c>
      <c r="L16" s="179">
        <f>SUM(H16:K16)</f>
        <v>2090</v>
      </c>
      <c r="M16" s="124"/>
      <c r="N16" s="126"/>
      <c r="O16" s="126"/>
      <c r="P16" s="126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80"/>
      <c r="C17" s="180"/>
      <c r="D17" s="180"/>
      <c r="E17" s="180"/>
      <c r="F17" s="180"/>
      <c r="G17" s="124"/>
      <c r="H17" s="180"/>
      <c r="I17" s="180"/>
      <c r="J17" s="180"/>
      <c r="K17" s="180"/>
      <c r="L17" s="180"/>
      <c r="M17" s="124"/>
      <c r="N17" s="126"/>
      <c r="O17" s="126"/>
      <c r="P17" s="126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01">
        <v>105</v>
      </c>
      <c r="C18" s="195" t="s">
        <v>24</v>
      </c>
      <c r="D18" s="181">
        <v>2325</v>
      </c>
      <c r="E18" s="196"/>
      <c r="F18" s="181">
        <f>(D18*E18)+D18</f>
        <v>2325</v>
      </c>
      <c r="G18" s="124"/>
      <c r="H18" s="181"/>
      <c r="I18" s="181"/>
      <c r="J18" s="181">
        <v>1330</v>
      </c>
      <c r="K18" s="181"/>
      <c r="L18" s="181">
        <f>SUM(H18:K18)</f>
        <v>1330</v>
      </c>
      <c r="M18" s="124"/>
      <c r="N18" s="127"/>
      <c r="O18" s="127"/>
      <c r="P18" s="12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80"/>
      <c r="C19" s="180"/>
      <c r="D19" s="180"/>
      <c r="E19" s="180"/>
      <c r="F19" s="180"/>
      <c r="G19" s="124"/>
      <c r="H19" s="180"/>
      <c r="I19" s="180"/>
      <c r="J19" s="180"/>
      <c r="K19" s="180"/>
      <c r="L19" s="180"/>
      <c r="M19" s="124"/>
      <c r="N19" s="127"/>
      <c r="O19" s="127"/>
      <c r="P19" s="12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05" t="s">
        <v>19</v>
      </c>
      <c r="C20" s="183"/>
      <c r="D20" s="183"/>
      <c r="E20" s="175"/>
      <c r="F20" s="14">
        <f>SUM(F10:F19)</f>
        <v>13950</v>
      </c>
      <c r="G20" s="13"/>
      <c r="H20" s="206" t="s">
        <v>21</v>
      </c>
      <c r="I20" s="183"/>
      <c r="J20" s="183"/>
      <c r="K20" s="175"/>
      <c r="L20" s="28">
        <f>SUM(L10:L19)</f>
        <v>8740</v>
      </c>
      <c r="M20" s="13"/>
      <c r="N20" s="199" t="s">
        <v>25</v>
      </c>
      <c r="O20" s="200"/>
      <c r="P20" s="125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94" t="s">
        <v>26</v>
      </c>
      <c r="C22" s="175"/>
      <c r="D22" s="17" t="s">
        <v>9</v>
      </c>
      <c r="E22" s="194" t="s">
        <v>27</v>
      </c>
      <c r="F22" s="175"/>
      <c r="G22" s="6"/>
      <c r="H22" s="174" t="s">
        <v>26</v>
      </c>
      <c r="I22" s="175"/>
      <c r="J22" s="18" t="s">
        <v>9</v>
      </c>
      <c r="K22" s="174" t="s">
        <v>27</v>
      </c>
      <c r="L22" s="175"/>
      <c r="M22" s="6"/>
      <c r="N22" s="182" t="s">
        <v>28</v>
      </c>
      <c r="O22" s="183"/>
      <c r="P22" s="175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90" t="s">
        <v>29</v>
      </c>
      <c r="C23" s="187"/>
      <c r="D23" s="197">
        <v>5</v>
      </c>
      <c r="E23" s="176" t="s">
        <v>30</v>
      </c>
      <c r="F23" s="167"/>
      <c r="G23" s="19"/>
      <c r="H23" s="186" t="s">
        <v>31</v>
      </c>
      <c r="I23" s="187"/>
      <c r="J23" s="172">
        <f>COUNT(H10:H19)</f>
        <v>2</v>
      </c>
      <c r="K23" s="176" t="s">
        <v>32</v>
      </c>
      <c r="L23" s="167"/>
      <c r="M23" s="19"/>
      <c r="N23" s="165"/>
      <c r="O23" s="166"/>
      <c r="P23" s="16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88"/>
      <c r="C24" s="189"/>
      <c r="D24" s="173"/>
      <c r="E24" s="177"/>
      <c r="F24" s="178"/>
      <c r="G24" s="19"/>
      <c r="H24" s="188"/>
      <c r="I24" s="189"/>
      <c r="J24" s="173"/>
      <c r="K24" s="177"/>
      <c r="L24" s="178"/>
      <c r="M24" s="19"/>
      <c r="N24" s="168"/>
      <c r="O24" s="169"/>
      <c r="P24" s="17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91" t="s">
        <v>33</v>
      </c>
      <c r="C25" s="187"/>
      <c r="D25" s="193">
        <v>5</v>
      </c>
      <c r="E25" s="177"/>
      <c r="F25" s="178"/>
      <c r="G25" s="19"/>
      <c r="H25" s="192" t="s">
        <v>15</v>
      </c>
      <c r="I25" s="187"/>
      <c r="J25" s="184">
        <f>COUNT(I10:I13)</f>
        <v>1</v>
      </c>
      <c r="K25" s="177"/>
      <c r="L25" s="178"/>
      <c r="M25" s="19"/>
      <c r="N25" s="171"/>
      <c r="O25" s="166"/>
      <c r="P25" s="16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88"/>
      <c r="C26" s="189"/>
      <c r="D26" s="173"/>
      <c r="E26" s="168"/>
      <c r="F26" s="170"/>
      <c r="G26" s="19"/>
      <c r="H26" s="188"/>
      <c r="I26" s="189"/>
      <c r="J26" s="173"/>
      <c r="K26" s="168"/>
      <c r="L26" s="170"/>
      <c r="M26" s="19"/>
      <c r="N26" s="168"/>
      <c r="O26" s="169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90" t="s">
        <v>34</v>
      </c>
      <c r="C27" s="187"/>
      <c r="D27" s="172">
        <v>1</v>
      </c>
      <c r="E27" s="176" t="s">
        <v>35</v>
      </c>
      <c r="F27" s="167"/>
      <c r="G27" s="20"/>
      <c r="H27" s="186" t="s">
        <v>16</v>
      </c>
      <c r="I27" s="187"/>
      <c r="J27" s="172">
        <f>COUNT(J10:J19)</f>
        <v>3</v>
      </c>
      <c r="K27" s="176" t="s">
        <v>36</v>
      </c>
      <c r="L27" s="167"/>
      <c r="M27" s="19"/>
      <c r="N27" s="165"/>
      <c r="O27" s="166"/>
      <c r="P27" s="167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88"/>
      <c r="C28" s="189"/>
      <c r="D28" s="173"/>
      <c r="E28" s="177"/>
      <c r="F28" s="178"/>
      <c r="G28" s="20"/>
      <c r="H28" s="188"/>
      <c r="I28" s="189"/>
      <c r="J28" s="173"/>
      <c r="K28" s="177"/>
      <c r="L28" s="178"/>
      <c r="M28" s="19"/>
      <c r="N28" s="168"/>
      <c r="O28" s="169"/>
      <c r="P28" s="170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91" t="s">
        <v>37</v>
      </c>
      <c r="C29" s="187"/>
      <c r="D29" s="184">
        <v>1</v>
      </c>
      <c r="E29" s="177"/>
      <c r="F29" s="178"/>
      <c r="G29" s="20"/>
      <c r="H29" s="192" t="s">
        <v>17</v>
      </c>
      <c r="I29" s="187"/>
      <c r="J29" s="185">
        <f>COUNT(K10:K19)</f>
        <v>1</v>
      </c>
      <c r="K29" s="177"/>
      <c r="L29" s="178"/>
      <c r="M29" s="19"/>
      <c r="N29" s="171"/>
      <c r="O29" s="166"/>
      <c r="P29" s="167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88"/>
      <c r="C30" s="189"/>
      <c r="D30" s="173"/>
      <c r="E30" s="177"/>
      <c r="F30" s="178"/>
      <c r="G30" s="20"/>
      <c r="H30" s="188"/>
      <c r="I30" s="189"/>
      <c r="J30" s="173"/>
      <c r="K30" s="177"/>
      <c r="L30" s="178"/>
      <c r="M30" s="19"/>
      <c r="N30" s="168"/>
      <c r="O30" s="169"/>
      <c r="P30" s="170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90" t="s">
        <v>38</v>
      </c>
      <c r="C31" s="187"/>
      <c r="D31" s="197">
        <f>D23</f>
        <v>5</v>
      </c>
      <c r="E31" s="177"/>
      <c r="F31" s="178"/>
      <c r="G31" s="20"/>
      <c r="H31" s="186" t="s">
        <v>39</v>
      </c>
      <c r="I31" s="187"/>
      <c r="J31" s="172">
        <v>0</v>
      </c>
      <c r="K31" s="177"/>
      <c r="L31" s="178"/>
      <c r="M31" s="19"/>
      <c r="N31" s="165"/>
      <c r="O31" s="166"/>
      <c r="P31" s="167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88"/>
      <c r="C32" s="189"/>
      <c r="D32" s="173"/>
      <c r="E32" s="168"/>
      <c r="F32" s="170"/>
      <c r="G32" s="20"/>
      <c r="H32" s="188"/>
      <c r="I32" s="189"/>
      <c r="J32" s="173"/>
      <c r="K32" s="168"/>
      <c r="L32" s="170"/>
      <c r="M32" s="19"/>
      <c r="N32" s="168"/>
      <c r="O32" s="169"/>
      <c r="P32" s="170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21"/>
      <c r="C33" s="121"/>
      <c r="D33" s="121"/>
      <c r="E33" s="121"/>
      <c r="F33" s="121"/>
      <c r="G33" s="122"/>
      <c r="H33" s="121"/>
      <c r="I33" s="121"/>
      <c r="J33" s="121"/>
      <c r="K33" s="121"/>
      <c r="L33" s="121"/>
      <c r="M33" s="19"/>
      <c r="N33" s="121"/>
      <c r="O33" s="121"/>
      <c r="P33" s="12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21"/>
      <c r="C34" s="121"/>
      <c r="D34" s="121"/>
      <c r="E34" s="121"/>
      <c r="F34" s="121"/>
      <c r="G34" s="122"/>
      <c r="H34" s="121"/>
      <c r="I34" s="121"/>
      <c r="J34" s="121"/>
      <c r="K34" s="121"/>
      <c r="L34" s="121"/>
      <c r="M34" s="19"/>
      <c r="N34" s="121"/>
      <c r="O34" s="121"/>
      <c r="P34" s="1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21"/>
      <c r="C35" s="121"/>
      <c r="D35" s="121"/>
      <c r="E35" s="121"/>
      <c r="F35" s="121"/>
      <c r="G35" s="122"/>
      <c r="H35" s="121"/>
      <c r="I35" s="121"/>
      <c r="J35" s="121"/>
      <c r="K35" s="121"/>
      <c r="L35" s="121"/>
      <c r="M35" s="19"/>
      <c r="N35" s="121"/>
      <c r="O35" s="121"/>
      <c r="P35" s="12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21"/>
      <c r="C36" s="121"/>
      <c r="D36" s="121"/>
      <c r="E36" s="121"/>
      <c r="F36" s="121"/>
      <c r="G36" s="122"/>
      <c r="H36" s="121"/>
      <c r="I36" s="121"/>
      <c r="J36" s="121"/>
      <c r="K36" s="121"/>
      <c r="L36" s="121"/>
      <c r="M36" s="19"/>
      <c r="N36" s="121"/>
      <c r="O36" s="121"/>
      <c r="P36" s="12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21"/>
      <c r="C37" s="121"/>
      <c r="D37" s="121"/>
      <c r="E37" s="121"/>
      <c r="F37" s="121"/>
      <c r="G37" s="122"/>
      <c r="H37" s="121"/>
      <c r="I37" s="121"/>
      <c r="J37" s="121"/>
      <c r="K37" s="121"/>
      <c r="L37" s="121"/>
      <c r="M37" s="19"/>
      <c r="N37" s="121"/>
      <c r="O37" s="121"/>
      <c r="P37" s="12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21"/>
      <c r="C38" s="121"/>
      <c r="D38" s="121"/>
      <c r="E38" s="121"/>
      <c r="F38" s="121"/>
      <c r="G38" s="122"/>
      <c r="H38" s="121"/>
      <c r="I38" s="121"/>
      <c r="J38" s="121"/>
      <c r="K38" s="121"/>
      <c r="L38" s="121"/>
      <c r="M38" s="19"/>
      <c r="N38" s="121"/>
      <c r="O38" s="121"/>
      <c r="P38" s="12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21"/>
      <c r="C39" s="121"/>
      <c r="D39" s="121"/>
      <c r="E39" s="121"/>
      <c r="F39" s="121"/>
      <c r="G39" s="122"/>
      <c r="H39" s="121"/>
      <c r="I39" s="121"/>
      <c r="J39" s="121"/>
      <c r="K39" s="121"/>
      <c r="L39" s="121"/>
      <c r="M39" s="19"/>
      <c r="N39" s="121"/>
      <c r="O39" s="121"/>
      <c r="P39" s="12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21"/>
      <c r="C40" s="121"/>
      <c r="D40" s="121"/>
      <c r="E40" s="121"/>
      <c r="F40" s="121"/>
      <c r="G40" s="122"/>
      <c r="H40" s="121"/>
      <c r="I40" s="121"/>
      <c r="J40" s="121"/>
      <c r="K40" s="121"/>
      <c r="L40" s="121"/>
      <c r="M40" s="19"/>
      <c r="N40" s="121"/>
      <c r="O40" s="121"/>
      <c r="P40" s="12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21"/>
      <c r="C41" s="121"/>
      <c r="D41" s="121"/>
      <c r="E41" s="121"/>
      <c r="F41" s="121"/>
      <c r="G41" s="122"/>
      <c r="H41" s="121"/>
      <c r="I41" s="121"/>
      <c r="J41" s="121"/>
      <c r="K41" s="121"/>
      <c r="L41" s="121"/>
      <c r="M41" s="19"/>
      <c r="N41" s="121"/>
      <c r="O41" s="121"/>
      <c r="P41" s="12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21"/>
      <c r="C42" s="121"/>
      <c r="D42" s="121"/>
      <c r="E42" s="121"/>
      <c r="F42" s="121"/>
      <c r="G42" s="122"/>
      <c r="H42" s="121"/>
      <c r="I42" s="121"/>
      <c r="J42" s="121"/>
      <c r="K42" s="121"/>
      <c r="L42" s="121"/>
      <c r="M42" s="19"/>
      <c r="N42" s="121"/>
      <c r="O42" s="121"/>
      <c r="P42" s="12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21"/>
      <c r="C43" s="121"/>
      <c r="D43" s="121"/>
      <c r="E43" s="121"/>
      <c r="F43" s="121"/>
      <c r="G43" s="122"/>
      <c r="H43" s="121"/>
      <c r="I43" s="121"/>
      <c r="J43" s="121"/>
      <c r="K43" s="121"/>
      <c r="L43" s="121"/>
      <c r="M43" s="19"/>
      <c r="N43" s="121"/>
      <c r="O43" s="121"/>
      <c r="P43" s="12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21"/>
      <c r="C44" s="121"/>
      <c r="D44" s="121"/>
      <c r="E44" s="121"/>
      <c r="F44" s="121"/>
      <c r="G44" s="122"/>
      <c r="H44" s="121"/>
      <c r="I44" s="121"/>
      <c r="J44" s="121"/>
      <c r="K44" s="121"/>
      <c r="L44" s="121"/>
      <c r="M44" s="19"/>
      <c r="N44" s="121"/>
      <c r="O44" s="121"/>
      <c r="P44" s="12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21"/>
      <c r="C45" s="121"/>
      <c r="D45" s="121"/>
      <c r="E45" s="121"/>
      <c r="F45" s="121"/>
      <c r="G45" s="122"/>
      <c r="H45" s="121"/>
      <c r="I45" s="121"/>
      <c r="J45" s="121"/>
      <c r="K45" s="121"/>
      <c r="L45" s="121"/>
      <c r="M45" s="19"/>
      <c r="N45" s="121"/>
      <c r="O45" s="121"/>
      <c r="P45" s="12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21"/>
      <c r="C46" s="121"/>
      <c r="D46" s="121"/>
      <c r="E46" s="121"/>
      <c r="F46" s="121"/>
      <c r="G46" s="122"/>
      <c r="H46" s="121"/>
      <c r="I46" s="121"/>
      <c r="J46" s="121"/>
      <c r="K46" s="121"/>
      <c r="L46" s="121"/>
      <c r="M46" s="19"/>
      <c r="N46" s="121"/>
      <c r="O46" s="121"/>
      <c r="P46" s="12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21"/>
      <c r="C47" s="121"/>
      <c r="D47" s="121"/>
      <c r="E47" s="121"/>
      <c r="F47" s="121"/>
      <c r="G47" s="122"/>
      <c r="H47" s="121"/>
      <c r="I47" s="121"/>
      <c r="J47" s="121"/>
      <c r="K47" s="121"/>
      <c r="L47" s="121"/>
      <c r="M47" s="19"/>
      <c r="N47" s="121"/>
      <c r="O47" s="121"/>
      <c r="P47" s="12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21"/>
      <c r="C48" s="121"/>
      <c r="D48" s="121"/>
      <c r="E48" s="121"/>
      <c r="F48" s="121"/>
      <c r="G48" s="122"/>
      <c r="H48" s="121"/>
      <c r="I48" s="121"/>
      <c r="J48" s="121"/>
      <c r="K48" s="121"/>
      <c r="L48" s="121"/>
      <c r="M48" s="19"/>
      <c r="N48" s="121"/>
      <c r="O48" s="121"/>
      <c r="P48" s="12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21"/>
      <c r="C49" s="121"/>
      <c r="D49" s="121"/>
      <c r="E49" s="121"/>
      <c r="F49" s="121"/>
      <c r="G49" s="122"/>
      <c r="H49" s="121"/>
      <c r="I49" s="121"/>
      <c r="J49" s="121"/>
      <c r="K49" s="121"/>
      <c r="L49" s="121"/>
      <c r="M49" s="19"/>
      <c r="N49" s="121"/>
      <c r="O49" s="121"/>
      <c r="P49" s="12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21"/>
      <c r="C50" s="121"/>
      <c r="D50" s="121"/>
      <c r="E50" s="121"/>
      <c r="F50" s="121"/>
      <c r="G50" s="122"/>
      <c r="H50" s="121"/>
      <c r="I50" s="121"/>
      <c r="J50" s="121"/>
      <c r="K50" s="121"/>
      <c r="L50" s="121"/>
      <c r="M50" s="19"/>
      <c r="N50" s="121"/>
      <c r="O50" s="121"/>
      <c r="P50" s="12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4"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B14:B15"/>
    <mergeCell ref="C14:C15"/>
    <mergeCell ref="D14:D15"/>
    <mergeCell ref="E14:E15"/>
    <mergeCell ref="F14:F15"/>
    <mergeCell ref="H14:H15"/>
    <mergeCell ref="I14:I15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B22:C22"/>
    <mergeCell ref="E22:F22"/>
    <mergeCell ref="C18:C19"/>
    <mergeCell ref="D18:D19"/>
    <mergeCell ref="E18:E19"/>
    <mergeCell ref="F18:F19"/>
    <mergeCell ref="H18:H19"/>
    <mergeCell ref="D23:D24"/>
    <mergeCell ref="E23:F26"/>
    <mergeCell ref="H23:I24"/>
    <mergeCell ref="I18:I19"/>
    <mergeCell ref="H22:I22"/>
    <mergeCell ref="H27:I28"/>
    <mergeCell ref="B23:C24"/>
    <mergeCell ref="B25:C26"/>
    <mergeCell ref="B27:C28"/>
    <mergeCell ref="D27:D28"/>
    <mergeCell ref="E27:F32"/>
    <mergeCell ref="B29:C30"/>
    <mergeCell ref="D29:D30"/>
    <mergeCell ref="H31:I32"/>
    <mergeCell ref="B31:C32"/>
    <mergeCell ref="D31:D32"/>
    <mergeCell ref="H29:I30"/>
    <mergeCell ref="D25:D26"/>
    <mergeCell ref="H25:I26"/>
    <mergeCell ref="N14:O15"/>
    <mergeCell ref="P14:P15"/>
    <mergeCell ref="N23:P24"/>
    <mergeCell ref="N25:P26"/>
    <mergeCell ref="N27:P28"/>
    <mergeCell ref="N29:P30"/>
    <mergeCell ref="J31:J32"/>
    <mergeCell ref="K22:L22"/>
    <mergeCell ref="K23:L26"/>
    <mergeCell ref="K27:L32"/>
    <mergeCell ref="J16:J17"/>
    <mergeCell ref="K16:K17"/>
    <mergeCell ref="L16:L17"/>
    <mergeCell ref="L14:L15"/>
    <mergeCell ref="N31:P32"/>
    <mergeCell ref="N22:P22"/>
    <mergeCell ref="J23:J24"/>
    <mergeCell ref="J25:J26"/>
    <mergeCell ref="J27:J28"/>
    <mergeCell ref="J29:J30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5" t="s">
        <v>40</v>
      </c>
      <c r="K3" s="214"/>
      <c r="L3" s="214"/>
      <c r="M3" s="214"/>
      <c r="N3" s="214"/>
      <c r="O3" s="214"/>
      <c r="P3" s="214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16" t="s">
        <v>2</v>
      </c>
      <c r="C6" s="217"/>
      <c r="D6" s="218"/>
      <c r="E6" s="175"/>
      <c r="F6" s="3"/>
      <c r="G6" s="3"/>
      <c r="H6" s="216" t="s">
        <v>3</v>
      </c>
      <c r="I6" s="217"/>
      <c r="J6" s="219" t="s">
        <v>41</v>
      </c>
      <c r="K6" s="175"/>
      <c r="L6" s="3"/>
      <c r="M6" s="3"/>
      <c r="N6" s="3"/>
      <c r="O6" s="4" t="s">
        <v>5</v>
      </c>
      <c r="P6" s="5">
        <f ca="1">TODAY()</f>
        <v>46001</v>
      </c>
      <c r="Q6" s="220"/>
      <c r="R6" s="214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94" t="s">
        <v>6</v>
      </c>
      <c r="C8" s="183"/>
      <c r="D8" s="183"/>
      <c r="E8" s="183"/>
      <c r="F8" s="175"/>
      <c r="G8" s="6"/>
      <c r="H8" s="174" t="s">
        <v>7</v>
      </c>
      <c r="I8" s="183"/>
      <c r="J8" s="183"/>
      <c r="K8" s="183"/>
      <c r="L8" s="175"/>
      <c r="M8" s="6"/>
      <c r="N8" s="182" t="s">
        <v>8</v>
      </c>
      <c r="O8" s="183"/>
      <c r="P8" s="175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207"/>
      <c r="O9" s="175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25">
        <v>1</v>
      </c>
      <c r="C10" s="226" t="s">
        <v>42</v>
      </c>
      <c r="D10" s="223">
        <v>3560</v>
      </c>
      <c r="E10" s="250"/>
      <c r="F10" s="223">
        <f>(D10*E10)+D10</f>
        <v>3560</v>
      </c>
      <c r="G10" s="12"/>
      <c r="H10" s="223">
        <v>1330</v>
      </c>
      <c r="I10" s="223">
        <v>1330</v>
      </c>
      <c r="J10" s="223">
        <v>1330</v>
      </c>
      <c r="K10" s="223">
        <v>760</v>
      </c>
      <c r="L10" s="223">
        <f>SUM(H10:K10)</f>
        <v>4750</v>
      </c>
      <c r="M10" s="12"/>
      <c r="N10" s="222" t="s">
        <v>19</v>
      </c>
      <c r="O10" s="167"/>
      <c r="P10" s="202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73"/>
      <c r="C11" s="173"/>
      <c r="D11" s="173"/>
      <c r="E11" s="173"/>
      <c r="F11" s="173"/>
      <c r="G11" s="12"/>
      <c r="H11" s="173"/>
      <c r="I11" s="173"/>
      <c r="J11" s="173"/>
      <c r="K11" s="173"/>
      <c r="L11" s="173"/>
      <c r="M11" s="12"/>
      <c r="N11" s="168"/>
      <c r="O11" s="170"/>
      <c r="P11" s="17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33">
        <v>2</v>
      </c>
      <c r="C12" s="233" t="s">
        <v>43</v>
      </c>
      <c r="D12" s="224">
        <v>3560</v>
      </c>
      <c r="E12" s="251"/>
      <c r="F12" s="223">
        <f>(D12*E12)+D12</f>
        <v>3560</v>
      </c>
      <c r="G12" s="12"/>
      <c r="H12" s="224"/>
      <c r="I12" s="224">
        <v>1330</v>
      </c>
      <c r="J12" s="224"/>
      <c r="K12" s="224"/>
      <c r="L12" s="223">
        <f>SUM(H12:K12)</f>
        <v>1330</v>
      </c>
      <c r="M12" s="12"/>
      <c r="N12" s="212" t="s">
        <v>21</v>
      </c>
      <c r="O12" s="167"/>
      <c r="P12" s="198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73"/>
      <c r="C13" s="173"/>
      <c r="D13" s="173"/>
      <c r="E13" s="173"/>
      <c r="F13" s="173"/>
      <c r="G13" s="12"/>
      <c r="H13" s="173"/>
      <c r="I13" s="173"/>
      <c r="J13" s="173"/>
      <c r="K13" s="173"/>
      <c r="L13" s="173"/>
      <c r="M13" s="12"/>
      <c r="N13" s="168"/>
      <c r="O13" s="170"/>
      <c r="P13" s="17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205" t="s">
        <v>19</v>
      </c>
      <c r="C14" s="183"/>
      <c r="D14" s="183"/>
      <c r="E14" s="175"/>
      <c r="F14" s="14">
        <f>SUM(F10:F13)</f>
        <v>7120</v>
      </c>
      <c r="G14" s="13"/>
      <c r="H14" s="206" t="s">
        <v>21</v>
      </c>
      <c r="I14" s="183"/>
      <c r="J14" s="183"/>
      <c r="K14" s="175"/>
      <c r="L14" s="15">
        <f>SUM(L10:L13)</f>
        <v>6080</v>
      </c>
      <c r="M14" s="13"/>
      <c r="N14" s="206" t="s">
        <v>25</v>
      </c>
      <c r="O14" s="175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37" t="s">
        <v>26</v>
      </c>
      <c r="C16" s="238"/>
      <c r="D16" s="23" t="s">
        <v>9</v>
      </c>
      <c r="E16" s="237" t="s">
        <v>27</v>
      </c>
      <c r="F16" s="238"/>
      <c r="G16" s="6"/>
      <c r="H16" s="174" t="s">
        <v>26</v>
      </c>
      <c r="I16" s="175"/>
      <c r="J16" s="24" t="s">
        <v>9</v>
      </c>
      <c r="K16" s="174" t="s">
        <v>27</v>
      </c>
      <c r="L16" s="175"/>
      <c r="M16" s="6"/>
      <c r="N16" s="182" t="s">
        <v>28</v>
      </c>
      <c r="O16" s="183"/>
      <c r="P16" s="175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31" t="s">
        <v>29</v>
      </c>
      <c r="C17" s="228"/>
      <c r="D17" s="239">
        <f>COUNT(B10:B13)</f>
        <v>2</v>
      </c>
      <c r="E17" s="241" t="s">
        <v>30</v>
      </c>
      <c r="F17" s="236"/>
      <c r="G17" s="19"/>
      <c r="H17" s="232" t="s">
        <v>31</v>
      </c>
      <c r="I17" s="167"/>
      <c r="J17" s="233">
        <f>COUNT(H10:H13)</f>
        <v>1</v>
      </c>
      <c r="K17" s="176" t="s">
        <v>32</v>
      </c>
      <c r="L17" s="167"/>
      <c r="M17" s="19"/>
      <c r="N17" s="165" t="s">
        <v>44</v>
      </c>
      <c r="O17" s="166"/>
      <c r="P17" s="16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29"/>
      <c r="C18" s="230"/>
      <c r="D18" s="240"/>
      <c r="E18" s="242"/>
      <c r="F18" s="178"/>
      <c r="G18" s="19"/>
      <c r="H18" s="168"/>
      <c r="I18" s="170"/>
      <c r="J18" s="173"/>
      <c r="K18" s="177"/>
      <c r="L18" s="178"/>
      <c r="M18" s="19"/>
      <c r="N18" s="168"/>
      <c r="O18" s="169"/>
      <c r="P18" s="170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27" t="s">
        <v>33</v>
      </c>
      <c r="C19" s="228"/>
      <c r="D19" s="245">
        <f>COUNT(B10:B15)*2</f>
        <v>4</v>
      </c>
      <c r="E19" s="242"/>
      <c r="F19" s="178"/>
      <c r="G19" s="19"/>
      <c r="H19" s="234" t="s">
        <v>15</v>
      </c>
      <c r="I19" s="167"/>
      <c r="J19" s="225">
        <f>COUNT(I10:I13)</f>
        <v>2</v>
      </c>
      <c r="K19" s="177"/>
      <c r="L19" s="178"/>
      <c r="M19" s="19"/>
      <c r="N19" s="171"/>
      <c r="O19" s="166"/>
      <c r="P19" s="16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29"/>
      <c r="C20" s="230"/>
      <c r="D20" s="240"/>
      <c r="E20" s="243"/>
      <c r="F20" s="244"/>
      <c r="G20" s="19"/>
      <c r="H20" s="168"/>
      <c r="I20" s="170"/>
      <c r="J20" s="173"/>
      <c r="K20" s="168"/>
      <c r="L20" s="170"/>
      <c r="M20" s="19"/>
      <c r="N20" s="168"/>
      <c r="O20" s="169"/>
      <c r="P20" s="170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31" t="s">
        <v>34</v>
      </c>
      <c r="C21" s="228"/>
      <c r="D21" s="248">
        <v>2</v>
      </c>
      <c r="E21" s="235" t="s">
        <v>35</v>
      </c>
      <c r="F21" s="236"/>
      <c r="G21" s="20"/>
      <c r="H21" s="232" t="s">
        <v>16</v>
      </c>
      <c r="I21" s="167"/>
      <c r="J21" s="233">
        <f>COUNT(J10:J13)</f>
        <v>1</v>
      </c>
      <c r="K21" s="176" t="s">
        <v>36</v>
      </c>
      <c r="L21" s="167"/>
      <c r="M21" s="19"/>
      <c r="N21" s="165"/>
      <c r="O21" s="166"/>
      <c r="P21" s="167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29"/>
      <c r="C22" s="230"/>
      <c r="D22" s="240"/>
      <c r="E22" s="214"/>
      <c r="F22" s="178"/>
      <c r="G22" s="20"/>
      <c r="H22" s="168"/>
      <c r="I22" s="170"/>
      <c r="J22" s="173"/>
      <c r="K22" s="177"/>
      <c r="L22" s="178"/>
      <c r="M22" s="19"/>
      <c r="N22" s="168"/>
      <c r="O22" s="169"/>
      <c r="P22" s="170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27" t="s">
        <v>37</v>
      </c>
      <c r="C23" s="228"/>
      <c r="D23" s="246">
        <v>2</v>
      </c>
      <c r="E23" s="214"/>
      <c r="F23" s="178"/>
      <c r="G23" s="20"/>
      <c r="H23" s="234" t="s">
        <v>17</v>
      </c>
      <c r="I23" s="167"/>
      <c r="J23" s="226">
        <f>COUNT(K10:K13)</f>
        <v>1</v>
      </c>
      <c r="K23" s="177"/>
      <c r="L23" s="178"/>
      <c r="M23" s="19"/>
      <c r="N23" s="171"/>
      <c r="O23" s="166"/>
      <c r="P23" s="16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29"/>
      <c r="C24" s="230"/>
      <c r="D24" s="240"/>
      <c r="E24" s="214"/>
      <c r="F24" s="178"/>
      <c r="G24" s="20"/>
      <c r="H24" s="168"/>
      <c r="I24" s="170"/>
      <c r="J24" s="173"/>
      <c r="K24" s="177"/>
      <c r="L24" s="178"/>
      <c r="M24" s="19"/>
      <c r="N24" s="168"/>
      <c r="O24" s="169"/>
      <c r="P24" s="17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31" t="s">
        <v>38</v>
      </c>
      <c r="C25" s="228"/>
      <c r="D25" s="248">
        <f>COUNT(B10:B13)</f>
        <v>2</v>
      </c>
      <c r="E25" s="214"/>
      <c r="F25" s="178"/>
      <c r="G25" s="20"/>
      <c r="H25" s="232" t="s">
        <v>39</v>
      </c>
      <c r="I25" s="167"/>
      <c r="J25" s="233">
        <v>0</v>
      </c>
      <c r="K25" s="177"/>
      <c r="L25" s="178"/>
      <c r="M25" s="19"/>
      <c r="N25" s="165"/>
      <c r="O25" s="166"/>
      <c r="P25" s="16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68"/>
      <c r="C26" s="247"/>
      <c r="D26" s="249"/>
      <c r="E26" s="169"/>
      <c r="F26" s="170"/>
      <c r="G26" s="20"/>
      <c r="H26" s="168"/>
      <c r="I26" s="170"/>
      <c r="J26" s="173"/>
      <c r="K26" s="168"/>
      <c r="L26" s="170"/>
      <c r="M26" s="19"/>
      <c r="N26" s="168"/>
      <c r="O26" s="169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abSelected="1" topLeftCell="A7" zoomScale="40" zoomScaleNormal="40" workbookViewId="0">
      <selection activeCell="D31" sqref="D31:D32"/>
    </sheetView>
  </sheetViews>
  <sheetFormatPr defaultColWidth="12.5703125" defaultRowHeight="15" customHeight="1"/>
  <cols>
    <col min="1" max="1" width="12.5703125" style="128"/>
    <col min="2" max="2" width="10.85546875" style="128" customWidth="1"/>
    <col min="3" max="3" width="37.42578125" style="128" customWidth="1"/>
    <col min="4" max="6" width="25.85546875" style="128" customWidth="1"/>
    <col min="7" max="7" width="5.85546875" style="128" customWidth="1"/>
    <col min="8" max="8" width="25.140625" style="128" customWidth="1"/>
    <col min="9" max="9" width="23.85546875" style="128" customWidth="1"/>
    <col min="10" max="10" width="24.140625" style="128" customWidth="1"/>
    <col min="11" max="11" width="26.5703125" style="128" customWidth="1"/>
    <col min="12" max="12" width="25.85546875" style="128" customWidth="1"/>
    <col min="13" max="13" width="6.140625" style="128" customWidth="1"/>
    <col min="14" max="14" width="29.85546875" style="128" customWidth="1"/>
    <col min="15" max="15" width="39.42578125" style="128" customWidth="1"/>
    <col min="16" max="16" width="25.85546875" style="128" customWidth="1"/>
    <col min="17" max="17" width="30.85546875" style="128" customWidth="1"/>
    <col min="18" max="18" width="27.7109375" style="128" bestFit="1" customWidth="1"/>
    <col min="19" max="19" width="25.85546875" style="128" customWidth="1"/>
    <col min="20" max="20" width="29.42578125" style="128" bestFit="1" customWidth="1"/>
    <col min="21" max="21" width="32" style="128" bestFit="1" customWidth="1"/>
    <col min="22" max="23" width="25.85546875" style="128" customWidth="1"/>
    <col min="24" max="24" width="3.5703125" style="128" customWidth="1"/>
    <col min="25" max="27" width="25.85546875" style="128" customWidth="1"/>
    <col min="28" max="16384" width="12.5703125" style="128"/>
  </cols>
  <sheetData>
    <row r="1" spans="2:38" ht="15.75" customHeight="1"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29"/>
      <c r="AI1" s="129"/>
      <c r="AJ1" s="129"/>
      <c r="AK1" s="129"/>
      <c r="AL1" s="129"/>
    </row>
    <row r="2" spans="2:38" ht="15.75" customHeight="1"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</row>
    <row r="3" spans="2:38" ht="54" customHeight="1">
      <c r="B3" s="292" t="s">
        <v>166</v>
      </c>
      <c r="C3" s="278"/>
      <c r="D3" s="278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85" t="s">
        <v>40</v>
      </c>
      <c r="Q3" s="278"/>
      <c r="R3" s="278"/>
      <c r="S3" s="278"/>
      <c r="T3" s="278"/>
      <c r="U3" s="278"/>
      <c r="V3" s="278"/>
      <c r="W3" s="278"/>
      <c r="X3" s="278"/>
      <c r="Y3" s="278"/>
      <c r="Z3" s="278"/>
      <c r="AA3" s="278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</row>
    <row r="4" spans="2:38" ht="15" customHeight="1"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</row>
    <row r="5" spans="2:38" ht="15.75" customHeight="1">
      <c r="B5" s="129"/>
      <c r="C5" s="129"/>
      <c r="D5" s="129"/>
      <c r="E5" s="129"/>
      <c r="F5" s="129"/>
      <c r="G5" s="129"/>
      <c r="H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2:38" ht="31.5" customHeight="1">
      <c r="B6" s="288" t="s">
        <v>2</v>
      </c>
      <c r="C6" s="286"/>
      <c r="D6" s="289"/>
      <c r="E6" s="267"/>
      <c r="F6" s="157"/>
      <c r="G6" s="157"/>
      <c r="H6" s="288" t="s">
        <v>3</v>
      </c>
      <c r="I6" s="290"/>
      <c r="J6" s="291" t="s">
        <v>157</v>
      </c>
      <c r="K6" s="267"/>
      <c r="L6" s="157"/>
      <c r="M6" s="156"/>
      <c r="N6" s="270" t="s">
        <v>45</v>
      </c>
      <c r="O6" s="286"/>
      <c r="P6" s="155"/>
      <c r="Q6" s="287" t="s">
        <v>46</v>
      </c>
      <c r="R6" s="267"/>
      <c r="Y6" s="154"/>
      <c r="Z6" s="153" t="s">
        <v>5</v>
      </c>
      <c r="AA6" s="152">
        <f ca="1">TODAY()</f>
        <v>46001</v>
      </c>
      <c r="AB6" s="277"/>
      <c r="AC6" s="278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2:38" ht="31.5" customHeight="1">
      <c r="B7" s="137"/>
      <c r="C7" s="137"/>
      <c r="D7" s="138"/>
      <c r="E7" s="137"/>
      <c r="F7" s="137"/>
      <c r="G7" s="137"/>
      <c r="H7" s="137"/>
      <c r="I7" s="137"/>
      <c r="J7" s="137"/>
      <c r="K7" s="137"/>
      <c r="L7" s="137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2:38" ht="31.5" customHeight="1">
      <c r="B8" s="268" t="s">
        <v>6</v>
      </c>
      <c r="C8" s="266"/>
      <c r="D8" s="266"/>
      <c r="E8" s="266"/>
      <c r="F8" s="267"/>
      <c r="G8" s="134"/>
      <c r="H8" s="293" t="s">
        <v>7</v>
      </c>
      <c r="I8" s="266"/>
      <c r="J8" s="266"/>
      <c r="K8" s="266"/>
      <c r="L8" s="267"/>
      <c r="M8" s="132"/>
      <c r="N8" s="279" t="s">
        <v>70</v>
      </c>
      <c r="O8" s="266"/>
      <c r="P8" s="266"/>
      <c r="Q8" s="266"/>
      <c r="R8" s="266"/>
      <c r="S8" s="266"/>
      <c r="T8" s="266"/>
      <c r="U8" s="266"/>
      <c r="V8" s="266"/>
      <c r="W8" s="267"/>
      <c r="X8" s="131"/>
      <c r="Y8" s="280" t="s">
        <v>8</v>
      </c>
      <c r="Z8" s="266"/>
      <c r="AA8" s="267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2:38" ht="31.5" customHeight="1">
      <c r="B9" s="151" t="s">
        <v>9</v>
      </c>
      <c r="C9" s="150" t="s">
        <v>10</v>
      </c>
      <c r="D9" s="148" t="s">
        <v>11</v>
      </c>
      <c r="E9" s="148" t="s">
        <v>12</v>
      </c>
      <c r="F9" s="148" t="s">
        <v>13</v>
      </c>
      <c r="G9" s="149"/>
      <c r="H9" s="148" t="s">
        <v>14</v>
      </c>
      <c r="I9" s="148" t="s">
        <v>15</v>
      </c>
      <c r="J9" s="148" t="s">
        <v>16</v>
      </c>
      <c r="K9" s="148" t="s">
        <v>17</v>
      </c>
      <c r="L9" s="148" t="s">
        <v>13</v>
      </c>
      <c r="M9" s="132"/>
      <c r="N9" s="147" t="s">
        <v>9</v>
      </c>
      <c r="O9" s="146" t="s">
        <v>10</v>
      </c>
      <c r="P9" s="146" t="s">
        <v>48</v>
      </c>
      <c r="Q9" s="146" t="s">
        <v>149</v>
      </c>
      <c r="R9" s="146" t="s">
        <v>51</v>
      </c>
      <c r="S9" s="146" t="s">
        <v>50</v>
      </c>
      <c r="T9" s="146" t="s">
        <v>58</v>
      </c>
      <c r="U9" s="146" t="s">
        <v>71</v>
      </c>
      <c r="V9" s="146" t="s">
        <v>152</v>
      </c>
      <c r="W9" s="146" t="s">
        <v>13</v>
      </c>
      <c r="X9" s="131"/>
      <c r="Y9" s="281"/>
      <c r="Z9" s="267"/>
      <c r="AA9" s="145" t="s">
        <v>13</v>
      </c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2:38" ht="31.5" customHeight="1">
      <c r="B10" s="252">
        <v>101</v>
      </c>
      <c r="C10" s="252" t="s">
        <v>18</v>
      </c>
      <c r="D10" s="254">
        <v>2325</v>
      </c>
      <c r="E10" s="255"/>
      <c r="F10" s="254">
        <f>(D10*E10)+D10</f>
        <v>2325</v>
      </c>
      <c r="G10" s="144"/>
      <c r="H10" s="264"/>
      <c r="I10" s="254"/>
      <c r="J10" s="254">
        <v>1330</v>
      </c>
      <c r="K10" s="254"/>
      <c r="L10" s="254">
        <f>SUM(H10:K10)</f>
        <v>1330</v>
      </c>
      <c r="M10" s="132"/>
      <c r="N10" s="262">
        <v>1</v>
      </c>
      <c r="O10" s="263" t="s">
        <v>72</v>
      </c>
      <c r="P10" s="271">
        <v>190</v>
      </c>
      <c r="Q10" s="271">
        <v>190</v>
      </c>
      <c r="R10" s="271">
        <v>190</v>
      </c>
      <c r="S10" s="271">
        <v>190</v>
      </c>
      <c r="T10" s="271">
        <v>190</v>
      </c>
      <c r="U10" s="271">
        <v>90</v>
      </c>
      <c r="V10" s="271">
        <v>90</v>
      </c>
      <c r="W10" s="271">
        <f>SUM(P10:V10)</f>
        <v>1130</v>
      </c>
      <c r="X10" s="131"/>
      <c r="Y10" s="282" t="s">
        <v>19</v>
      </c>
      <c r="Z10" s="273"/>
      <c r="AA10" s="283">
        <f>F20</f>
        <v>13950</v>
      </c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2:38" ht="31.5" customHeight="1">
      <c r="B11" s="253"/>
      <c r="C11" s="253"/>
      <c r="D11" s="253"/>
      <c r="E11" s="253"/>
      <c r="F11" s="253"/>
      <c r="G11" s="144"/>
      <c r="H11" s="253"/>
      <c r="I11" s="253"/>
      <c r="J11" s="253"/>
      <c r="K11" s="253"/>
      <c r="L11" s="253"/>
      <c r="M11" s="132"/>
      <c r="N11" s="253"/>
      <c r="O11" s="253"/>
      <c r="P11" s="253"/>
      <c r="Q11" s="253"/>
      <c r="R11" s="253"/>
      <c r="S11" s="253"/>
      <c r="T11" s="253"/>
      <c r="U11" s="253"/>
      <c r="V11" s="253"/>
      <c r="W11" s="253"/>
      <c r="X11" s="131"/>
      <c r="Y11" s="274"/>
      <c r="Z11" s="275"/>
      <c r="AA11" s="253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2:38" ht="31.5" customHeight="1">
      <c r="B12" s="252">
        <v>102</v>
      </c>
      <c r="C12" s="252" t="s">
        <v>20</v>
      </c>
      <c r="D12" s="254">
        <v>2325</v>
      </c>
      <c r="E12" s="255">
        <v>0.75</v>
      </c>
      <c r="F12" s="254">
        <f>(D12*E12)+D12</f>
        <v>4068.75</v>
      </c>
      <c r="G12" s="144"/>
      <c r="H12" s="254">
        <v>1330</v>
      </c>
      <c r="I12" s="254">
        <v>1330</v>
      </c>
      <c r="J12" s="254"/>
      <c r="K12" s="254"/>
      <c r="L12" s="254">
        <f>SUM(H12:K12)</f>
        <v>2660</v>
      </c>
      <c r="M12" s="132"/>
      <c r="N12" s="269">
        <v>2</v>
      </c>
      <c r="O12" s="264" t="s">
        <v>151</v>
      </c>
      <c r="P12" s="271">
        <v>190</v>
      </c>
      <c r="Q12" s="271">
        <v>190</v>
      </c>
      <c r="R12" s="271">
        <v>190</v>
      </c>
      <c r="S12" s="271">
        <v>190</v>
      </c>
      <c r="T12" s="271">
        <v>190</v>
      </c>
      <c r="U12" s="271">
        <v>90</v>
      </c>
      <c r="V12" s="271">
        <v>90</v>
      </c>
      <c r="W12" s="271">
        <f>SUM(P12:V12)</f>
        <v>1130</v>
      </c>
      <c r="X12" s="131"/>
      <c r="Y12" s="302" t="s">
        <v>53</v>
      </c>
      <c r="Z12" s="273"/>
      <c r="AA12" s="284">
        <f>W20</f>
        <v>5650</v>
      </c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2:38" ht="31.5" customHeight="1">
      <c r="B13" s="253"/>
      <c r="C13" s="253"/>
      <c r="D13" s="253"/>
      <c r="E13" s="253"/>
      <c r="F13" s="253"/>
      <c r="G13" s="144"/>
      <c r="H13" s="253"/>
      <c r="I13" s="253"/>
      <c r="J13" s="253"/>
      <c r="K13" s="253"/>
      <c r="L13" s="253"/>
      <c r="M13" s="132"/>
      <c r="N13" s="253"/>
      <c r="O13" s="253"/>
      <c r="P13" s="253"/>
      <c r="Q13" s="253"/>
      <c r="R13" s="253"/>
      <c r="S13" s="253"/>
      <c r="T13" s="253"/>
      <c r="U13" s="253"/>
      <c r="V13" s="253"/>
      <c r="W13" s="253"/>
      <c r="X13" s="131"/>
      <c r="Y13" s="274"/>
      <c r="Z13" s="275"/>
      <c r="AA13" s="253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2:38" ht="31.5" customHeight="1">
      <c r="B14" s="252">
        <v>103</v>
      </c>
      <c r="C14" s="252" t="s">
        <v>22</v>
      </c>
      <c r="D14" s="254">
        <v>2325</v>
      </c>
      <c r="E14" s="264"/>
      <c r="F14" s="254">
        <f>(D14*E14)+D14</f>
        <v>2325</v>
      </c>
      <c r="G14" s="143"/>
      <c r="H14" s="264"/>
      <c r="I14" s="264"/>
      <c r="J14" s="254">
        <v>1330</v>
      </c>
      <c r="K14" s="254"/>
      <c r="L14" s="254">
        <f>SUM(H14:K14)</f>
        <v>1330</v>
      </c>
      <c r="M14" s="132"/>
      <c r="N14" s="262">
        <v>3</v>
      </c>
      <c r="O14" s="263" t="s">
        <v>158</v>
      </c>
      <c r="P14" s="271">
        <v>190</v>
      </c>
      <c r="Q14" s="271">
        <v>190</v>
      </c>
      <c r="R14" s="271">
        <v>190</v>
      </c>
      <c r="S14" s="271">
        <v>190</v>
      </c>
      <c r="T14" s="271">
        <v>190</v>
      </c>
      <c r="U14" s="271">
        <v>90</v>
      </c>
      <c r="V14" s="271">
        <v>90</v>
      </c>
      <c r="W14" s="271">
        <f>SUM(P14:V14)</f>
        <v>1130</v>
      </c>
      <c r="X14" s="131"/>
      <c r="Y14" s="302" t="s">
        <v>21</v>
      </c>
      <c r="Z14" s="273"/>
      <c r="AA14" s="303">
        <f>L20</f>
        <v>8740</v>
      </c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2:38" ht="31.5" customHeight="1">
      <c r="B15" s="253"/>
      <c r="C15" s="253"/>
      <c r="D15" s="253"/>
      <c r="E15" s="253"/>
      <c r="F15" s="253"/>
      <c r="G15" s="143"/>
      <c r="H15" s="253"/>
      <c r="I15" s="253"/>
      <c r="J15" s="253"/>
      <c r="K15" s="253"/>
      <c r="L15" s="253"/>
      <c r="M15" s="132"/>
      <c r="N15" s="253"/>
      <c r="O15" s="253"/>
      <c r="P15" s="253"/>
      <c r="Q15" s="253"/>
      <c r="R15" s="253"/>
      <c r="S15" s="253"/>
      <c r="T15" s="253"/>
      <c r="U15" s="253"/>
      <c r="V15" s="253"/>
      <c r="W15" s="253"/>
      <c r="X15" s="131"/>
      <c r="Y15" s="274"/>
      <c r="Z15" s="275"/>
      <c r="AA15" s="253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2:38" ht="31.5" customHeight="1">
      <c r="B16" s="252">
        <v>104</v>
      </c>
      <c r="C16" s="252" t="s">
        <v>23</v>
      </c>
      <c r="D16" s="254">
        <v>2325</v>
      </c>
      <c r="E16" s="255">
        <v>0.25</v>
      </c>
      <c r="F16" s="254">
        <f>(D16*E16)+D16</f>
        <v>2906.25</v>
      </c>
      <c r="G16" s="143"/>
      <c r="H16" s="254">
        <v>1330</v>
      </c>
      <c r="I16" s="264"/>
      <c r="J16" s="264"/>
      <c r="K16" s="254">
        <v>760</v>
      </c>
      <c r="L16" s="254">
        <f>SUM(H16:K16)</f>
        <v>2090</v>
      </c>
      <c r="M16" s="132"/>
      <c r="N16" s="269">
        <v>4</v>
      </c>
      <c r="O16" s="264" t="s">
        <v>159</v>
      </c>
      <c r="P16" s="271">
        <v>190</v>
      </c>
      <c r="Q16" s="271">
        <v>190</v>
      </c>
      <c r="R16" s="271">
        <v>190</v>
      </c>
      <c r="S16" s="271">
        <v>190</v>
      </c>
      <c r="T16" s="271">
        <v>190</v>
      </c>
      <c r="U16" s="271">
        <v>90</v>
      </c>
      <c r="V16" s="271">
        <v>90</v>
      </c>
      <c r="W16" s="271">
        <f>SUM(P16:V16)</f>
        <v>1130</v>
      </c>
      <c r="X16" s="131"/>
      <c r="Y16" s="272" t="s">
        <v>167</v>
      </c>
      <c r="Z16" s="273"/>
      <c r="AA16" s="276">
        <f>SUM(AA10:AA15)*0.1</f>
        <v>2834</v>
      </c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2:38" ht="31.5" customHeight="1">
      <c r="B17" s="253"/>
      <c r="C17" s="253"/>
      <c r="D17" s="253"/>
      <c r="E17" s="253"/>
      <c r="F17" s="253"/>
      <c r="G17" s="143"/>
      <c r="H17" s="253"/>
      <c r="I17" s="253"/>
      <c r="J17" s="253"/>
      <c r="K17" s="253"/>
      <c r="L17" s="253"/>
      <c r="M17" s="132"/>
      <c r="N17" s="253"/>
      <c r="O17" s="253"/>
      <c r="P17" s="253"/>
      <c r="Q17" s="253"/>
      <c r="R17" s="253"/>
      <c r="S17" s="253"/>
      <c r="T17" s="253"/>
      <c r="U17" s="253"/>
      <c r="V17" s="253"/>
      <c r="W17" s="253"/>
      <c r="X17" s="131"/>
      <c r="Y17" s="274"/>
      <c r="Z17" s="275"/>
      <c r="AA17" s="253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2:38" ht="31.5" customHeight="1">
      <c r="B18" s="252">
        <v>105</v>
      </c>
      <c r="C18" s="252" t="s">
        <v>24</v>
      </c>
      <c r="D18" s="254">
        <v>2325</v>
      </c>
      <c r="E18" s="264"/>
      <c r="F18" s="254">
        <f>(D18*E18)+D18</f>
        <v>2325</v>
      </c>
      <c r="G18" s="143"/>
      <c r="H18" s="264"/>
      <c r="I18" s="264"/>
      <c r="J18" s="254">
        <v>1330</v>
      </c>
      <c r="K18" s="264"/>
      <c r="L18" s="254">
        <f>SUM(H18:K18)</f>
        <v>1330</v>
      </c>
      <c r="M18" s="132"/>
      <c r="N18" s="262">
        <v>5</v>
      </c>
      <c r="O18" s="263" t="s">
        <v>160</v>
      </c>
      <c r="P18" s="271">
        <v>190</v>
      </c>
      <c r="Q18" s="271">
        <v>190</v>
      </c>
      <c r="R18" s="271">
        <v>190</v>
      </c>
      <c r="S18" s="271">
        <v>190</v>
      </c>
      <c r="T18" s="271">
        <v>190</v>
      </c>
      <c r="U18" s="271">
        <v>90</v>
      </c>
      <c r="V18" s="271">
        <v>90</v>
      </c>
      <c r="W18" s="271">
        <f>SUM(P18:V18)</f>
        <v>1130</v>
      </c>
      <c r="X18" s="131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2:38" ht="31.5" customHeight="1">
      <c r="B19" s="253"/>
      <c r="C19" s="253"/>
      <c r="D19" s="253"/>
      <c r="E19" s="253"/>
      <c r="F19" s="253"/>
      <c r="G19" s="143"/>
      <c r="H19" s="253"/>
      <c r="I19" s="253"/>
      <c r="J19" s="253"/>
      <c r="K19" s="253"/>
      <c r="L19" s="253"/>
      <c r="M19" s="132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131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2:38" ht="31.5" customHeight="1">
      <c r="B20" s="265" t="s">
        <v>19</v>
      </c>
      <c r="C20" s="266"/>
      <c r="D20" s="266"/>
      <c r="E20" s="267"/>
      <c r="F20" s="142">
        <f>SUM(F10:F19)</f>
        <v>13950</v>
      </c>
      <c r="G20" s="134"/>
      <c r="H20" s="318" t="s">
        <v>21</v>
      </c>
      <c r="I20" s="266"/>
      <c r="J20" s="266"/>
      <c r="K20" s="267"/>
      <c r="L20" s="141">
        <f>SUM(L10:L19)</f>
        <v>8740</v>
      </c>
      <c r="M20" s="132"/>
      <c r="N20" s="310" t="s">
        <v>73</v>
      </c>
      <c r="O20" s="266"/>
      <c r="P20" s="266"/>
      <c r="Q20" s="266"/>
      <c r="R20" s="266"/>
      <c r="S20" s="266"/>
      <c r="T20" s="266"/>
      <c r="U20" s="266"/>
      <c r="V20" s="267"/>
      <c r="W20" s="140">
        <f>SUM(W10:W19)</f>
        <v>5650</v>
      </c>
      <c r="X20" s="131"/>
      <c r="Y20" s="295" t="s">
        <v>25</v>
      </c>
      <c r="Z20" s="267"/>
      <c r="AA20" s="139">
        <f>SUM(AA10:AA15) - AA16</f>
        <v>25506</v>
      </c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2:38" ht="31.5" customHeight="1">
      <c r="B21" s="137"/>
      <c r="C21" s="137"/>
      <c r="D21" s="138"/>
      <c r="E21" s="137"/>
      <c r="F21" s="137"/>
      <c r="G21" s="137"/>
      <c r="H21" s="137"/>
      <c r="I21" s="137"/>
      <c r="J21" s="137"/>
      <c r="K21" s="137"/>
      <c r="L21" s="137"/>
      <c r="M21" s="132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1"/>
      <c r="Y21" s="131"/>
      <c r="Z21" s="131"/>
      <c r="AA21" s="131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2:38" ht="31.5" customHeight="1">
      <c r="B22" s="268" t="s">
        <v>26</v>
      </c>
      <c r="C22" s="267"/>
      <c r="D22" s="135" t="s">
        <v>9</v>
      </c>
      <c r="E22" s="309" t="s">
        <v>27</v>
      </c>
      <c r="F22" s="267"/>
      <c r="G22" s="134"/>
      <c r="H22" s="293" t="s">
        <v>26</v>
      </c>
      <c r="I22" s="267"/>
      <c r="J22" s="133" t="s">
        <v>9</v>
      </c>
      <c r="K22" s="311" t="s">
        <v>27</v>
      </c>
      <c r="L22" s="267"/>
      <c r="M22" s="132"/>
      <c r="N22" s="279" t="s">
        <v>26</v>
      </c>
      <c r="O22" s="266"/>
      <c r="P22" s="267"/>
      <c r="Q22" s="158" t="s">
        <v>9</v>
      </c>
      <c r="R22" s="279" t="s">
        <v>74</v>
      </c>
      <c r="S22" s="267"/>
      <c r="T22" s="279" t="s">
        <v>27</v>
      </c>
      <c r="U22" s="266"/>
      <c r="V22" s="266"/>
      <c r="W22" s="267"/>
      <c r="X22" s="131"/>
      <c r="Y22" s="270" t="s">
        <v>28</v>
      </c>
      <c r="Z22" s="266"/>
      <c r="AA22" s="267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2:38" ht="31.5" customHeight="1">
      <c r="B23" s="305" t="s">
        <v>161</v>
      </c>
      <c r="C23" s="273"/>
      <c r="D23" s="304">
        <v>5</v>
      </c>
      <c r="E23" s="319" t="s">
        <v>30</v>
      </c>
      <c r="F23" s="273"/>
      <c r="G23" s="130"/>
      <c r="H23" s="315" t="s">
        <v>31</v>
      </c>
      <c r="I23" s="273"/>
      <c r="J23" s="304">
        <f>COUNT(H10:H19)</f>
        <v>2</v>
      </c>
      <c r="K23" s="308" t="s">
        <v>56</v>
      </c>
      <c r="L23" s="273"/>
      <c r="M23" s="132"/>
      <c r="N23" s="294" t="s">
        <v>54</v>
      </c>
      <c r="O23" s="257"/>
      <c r="P23" s="258"/>
      <c r="Q23" s="306">
        <f>COUNT(P10:P19)</f>
        <v>5</v>
      </c>
      <c r="R23" s="313" t="s">
        <v>75</v>
      </c>
      <c r="S23" s="258"/>
      <c r="T23" s="299" t="s">
        <v>165</v>
      </c>
      <c r="U23" s="297"/>
      <c r="V23" s="297"/>
      <c r="W23" s="273"/>
      <c r="X23" s="131"/>
      <c r="Y23" s="296"/>
      <c r="Z23" s="297"/>
      <c r="AA23" s="273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2:38" ht="31.5" customHeight="1">
      <c r="B24" s="274"/>
      <c r="C24" s="275"/>
      <c r="D24" s="253"/>
      <c r="E24" s="300"/>
      <c r="F24" s="301"/>
      <c r="G24" s="130"/>
      <c r="H24" s="274"/>
      <c r="I24" s="275"/>
      <c r="J24" s="253"/>
      <c r="K24" s="300"/>
      <c r="L24" s="301"/>
      <c r="M24" s="132"/>
      <c r="N24" s="259"/>
      <c r="O24" s="260"/>
      <c r="P24" s="261"/>
      <c r="Q24" s="307"/>
      <c r="R24" s="259"/>
      <c r="S24" s="261"/>
      <c r="T24" s="300"/>
      <c r="U24" s="278"/>
      <c r="V24" s="278"/>
      <c r="W24" s="301"/>
      <c r="X24" s="131"/>
      <c r="Y24" s="274"/>
      <c r="Z24" s="298"/>
      <c r="AA24" s="275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2:38" ht="31.5" customHeight="1">
      <c r="B25" s="320" t="s">
        <v>33</v>
      </c>
      <c r="C25" s="273"/>
      <c r="D25" s="264">
        <v>5</v>
      </c>
      <c r="E25" s="300"/>
      <c r="F25" s="301"/>
      <c r="G25" s="130"/>
      <c r="H25" s="316" t="s">
        <v>15</v>
      </c>
      <c r="I25" s="273"/>
      <c r="J25" s="264">
        <f>COUNT(I10:I19)</f>
        <v>1</v>
      </c>
      <c r="K25" s="300"/>
      <c r="L25" s="301"/>
      <c r="M25" s="132"/>
      <c r="N25" s="256" t="s">
        <v>149</v>
      </c>
      <c r="O25" s="257"/>
      <c r="P25" s="258"/>
      <c r="Q25" s="321">
        <f>COUNT(Q10:Q19)</f>
        <v>5</v>
      </c>
      <c r="R25" s="314" t="s">
        <v>76</v>
      </c>
      <c r="S25" s="258"/>
      <c r="T25" s="300"/>
      <c r="U25" s="278"/>
      <c r="V25" s="278"/>
      <c r="W25" s="301"/>
      <c r="X25" s="131"/>
      <c r="Y25" s="296"/>
      <c r="Z25" s="297"/>
      <c r="AA25" s="273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2:38" ht="31.5" customHeight="1">
      <c r="B26" s="274"/>
      <c r="C26" s="275"/>
      <c r="D26" s="253"/>
      <c r="E26" s="274"/>
      <c r="F26" s="275"/>
      <c r="G26" s="130"/>
      <c r="H26" s="274"/>
      <c r="I26" s="275"/>
      <c r="J26" s="253"/>
      <c r="K26" s="274"/>
      <c r="L26" s="275"/>
      <c r="M26" s="132"/>
      <c r="N26" s="259"/>
      <c r="O26" s="260"/>
      <c r="P26" s="261"/>
      <c r="Q26" s="322"/>
      <c r="R26" s="259"/>
      <c r="S26" s="261"/>
      <c r="T26" s="274"/>
      <c r="U26" s="298"/>
      <c r="V26" s="298"/>
      <c r="W26" s="275"/>
      <c r="X26" s="131"/>
      <c r="Y26" s="274"/>
      <c r="Z26" s="298"/>
      <c r="AA26" s="275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2:38" ht="31.5" customHeight="1">
      <c r="B27" s="305" t="s">
        <v>34</v>
      </c>
      <c r="C27" s="273"/>
      <c r="D27" s="304">
        <v>1</v>
      </c>
      <c r="E27" s="319" t="s">
        <v>35</v>
      </c>
      <c r="F27" s="273"/>
      <c r="G27" s="130"/>
      <c r="H27" s="315" t="s">
        <v>16</v>
      </c>
      <c r="I27" s="273"/>
      <c r="J27" s="304">
        <f>COUNT(J10:J19)</f>
        <v>3</v>
      </c>
      <c r="K27" s="308" t="s">
        <v>162</v>
      </c>
      <c r="L27" s="273"/>
      <c r="M27" s="132"/>
      <c r="N27" s="294" t="s">
        <v>51</v>
      </c>
      <c r="O27" s="257"/>
      <c r="P27" s="258"/>
      <c r="Q27" s="306">
        <f>COUNT(R10:R19)</f>
        <v>5</v>
      </c>
      <c r="R27" s="312" t="s">
        <v>163</v>
      </c>
      <c r="S27" s="258"/>
      <c r="T27" s="296"/>
      <c r="U27" s="297"/>
      <c r="V27" s="297"/>
      <c r="W27" s="273"/>
      <c r="X27" s="131"/>
      <c r="Y27" s="296"/>
      <c r="Z27" s="297"/>
      <c r="AA27" s="273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2:38" ht="31.5" customHeight="1">
      <c r="B28" s="274"/>
      <c r="C28" s="275"/>
      <c r="D28" s="253"/>
      <c r="E28" s="300"/>
      <c r="F28" s="301"/>
      <c r="G28" s="130"/>
      <c r="H28" s="274"/>
      <c r="I28" s="275"/>
      <c r="J28" s="253"/>
      <c r="K28" s="300"/>
      <c r="L28" s="301"/>
      <c r="M28" s="132"/>
      <c r="N28" s="259"/>
      <c r="O28" s="260"/>
      <c r="P28" s="261"/>
      <c r="Q28" s="323"/>
      <c r="R28" s="259"/>
      <c r="S28" s="261"/>
      <c r="T28" s="300"/>
      <c r="U28" s="278"/>
      <c r="V28" s="278"/>
      <c r="W28" s="301"/>
      <c r="X28" s="131"/>
      <c r="Y28" s="274"/>
      <c r="Z28" s="298"/>
      <c r="AA28" s="275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2:38" ht="31.5" customHeight="1">
      <c r="B29" s="320" t="s">
        <v>37</v>
      </c>
      <c r="C29" s="273"/>
      <c r="D29" s="264">
        <v>1</v>
      </c>
      <c r="E29" s="300"/>
      <c r="F29" s="301"/>
      <c r="G29" s="130"/>
      <c r="H29" s="316" t="s">
        <v>17</v>
      </c>
      <c r="I29" s="273"/>
      <c r="J29" s="317">
        <f>COUNT(K10:K19)</f>
        <v>1</v>
      </c>
      <c r="K29" s="300"/>
      <c r="L29" s="301"/>
      <c r="M29" s="131"/>
      <c r="N29" s="256" t="s">
        <v>50</v>
      </c>
      <c r="O29" s="257"/>
      <c r="P29" s="258"/>
      <c r="Q29" s="321">
        <f>COUNT(S10:S19)</f>
        <v>5</v>
      </c>
      <c r="R29" s="314" t="s">
        <v>77</v>
      </c>
      <c r="S29" s="258"/>
      <c r="T29" s="300"/>
      <c r="U29" s="278"/>
      <c r="V29" s="278"/>
      <c r="W29" s="301"/>
      <c r="X29" s="131"/>
      <c r="Y29" s="296"/>
      <c r="Z29" s="297"/>
      <c r="AA29" s="273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2:38" ht="31.5" customHeight="1">
      <c r="B30" s="274"/>
      <c r="C30" s="275"/>
      <c r="D30" s="253"/>
      <c r="E30" s="300"/>
      <c r="F30" s="301"/>
      <c r="G30" s="130"/>
      <c r="H30" s="274"/>
      <c r="I30" s="275"/>
      <c r="J30" s="253"/>
      <c r="K30" s="300"/>
      <c r="L30" s="301"/>
      <c r="M30" s="131"/>
      <c r="N30" s="259"/>
      <c r="O30" s="260"/>
      <c r="P30" s="261"/>
      <c r="Q30" s="322"/>
      <c r="R30" s="259"/>
      <c r="S30" s="261"/>
      <c r="T30" s="300"/>
      <c r="U30" s="278"/>
      <c r="V30" s="278"/>
      <c r="W30" s="301"/>
      <c r="X30" s="131"/>
      <c r="Y30" s="274"/>
      <c r="Z30" s="298"/>
      <c r="AA30" s="275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2:38" ht="31.5" customHeight="1">
      <c r="B31" s="305" t="s">
        <v>38</v>
      </c>
      <c r="C31" s="273"/>
      <c r="D31" s="304">
        <f>D23</f>
        <v>5</v>
      </c>
      <c r="E31" s="300"/>
      <c r="F31" s="301"/>
      <c r="G31" s="130"/>
      <c r="H31" s="315" t="s">
        <v>39</v>
      </c>
      <c r="I31" s="273"/>
      <c r="J31" s="304">
        <v>0</v>
      </c>
      <c r="K31" s="300"/>
      <c r="L31" s="301"/>
      <c r="M31" s="129"/>
      <c r="N31" s="294" t="s">
        <v>58</v>
      </c>
      <c r="O31" s="257"/>
      <c r="P31" s="258"/>
      <c r="Q31" s="306">
        <f>COUNT(T10:T19)</f>
        <v>5</v>
      </c>
      <c r="R31" s="312" t="s">
        <v>78</v>
      </c>
      <c r="S31" s="258"/>
      <c r="T31" s="300"/>
      <c r="U31" s="278"/>
      <c r="V31" s="278"/>
      <c r="W31" s="301"/>
      <c r="X31" s="129"/>
      <c r="Y31" s="296"/>
      <c r="Z31" s="297"/>
      <c r="AA31" s="273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2:38" ht="31.5" customHeight="1">
      <c r="B32" s="274"/>
      <c r="C32" s="275"/>
      <c r="D32" s="253"/>
      <c r="E32" s="274"/>
      <c r="F32" s="275"/>
      <c r="G32" s="130"/>
      <c r="H32" s="274"/>
      <c r="I32" s="275"/>
      <c r="J32" s="253"/>
      <c r="K32" s="274"/>
      <c r="L32" s="275"/>
      <c r="M32" s="129"/>
      <c r="N32" s="259"/>
      <c r="O32" s="260"/>
      <c r="P32" s="261"/>
      <c r="Q32" s="323"/>
      <c r="R32" s="259"/>
      <c r="S32" s="261"/>
      <c r="T32" s="300"/>
      <c r="U32" s="278"/>
      <c r="V32" s="278"/>
      <c r="W32" s="301"/>
      <c r="X32" s="129"/>
      <c r="Y32" s="274"/>
      <c r="Z32" s="298"/>
      <c r="AA32" s="275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2:38" ht="31.5" customHeight="1"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256" t="s">
        <v>38</v>
      </c>
      <c r="O33" s="257"/>
      <c r="P33" s="258"/>
      <c r="Q33" s="321">
        <f>COUNT(U10:U19)</f>
        <v>5</v>
      </c>
      <c r="R33" s="314" t="s">
        <v>164</v>
      </c>
      <c r="S33" s="258"/>
      <c r="T33" s="300"/>
      <c r="U33" s="278"/>
      <c r="V33" s="278"/>
      <c r="W33" s="301"/>
      <c r="X33" s="129"/>
      <c r="Y33" s="296"/>
      <c r="Z33" s="297"/>
      <c r="AA33" s="273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2:38" ht="31.5" customHeight="1">
      <c r="B34" s="129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259"/>
      <c r="O34" s="260"/>
      <c r="P34" s="261"/>
      <c r="Q34" s="322"/>
      <c r="R34" s="259"/>
      <c r="S34" s="261"/>
      <c r="T34" s="300"/>
      <c r="U34" s="278"/>
      <c r="V34" s="278"/>
      <c r="W34" s="301"/>
      <c r="X34" s="129"/>
      <c r="Y34" s="274"/>
      <c r="Z34" s="298"/>
      <c r="AA34" s="275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2:38" ht="31.5" customHeight="1">
      <c r="B35" s="129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294" t="s">
        <v>152</v>
      </c>
      <c r="O35" s="257"/>
      <c r="P35" s="258"/>
      <c r="Q35" s="306">
        <f>COUNT(V10:V19)</f>
        <v>5</v>
      </c>
      <c r="R35" s="312" t="s">
        <v>154</v>
      </c>
      <c r="S35" s="258"/>
      <c r="T35" s="300"/>
      <c r="U35" s="278"/>
      <c r="V35" s="278"/>
      <c r="W35" s="301"/>
      <c r="X35" s="129"/>
      <c r="Y35" s="296"/>
      <c r="Z35" s="297"/>
      <c r="AA35" s="273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2:38" ht="31.5" customHeight="1"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259"/>
      <c r="O36" s="260"/>
      <c r="P36" s="261"/>
      <c r="Q36" s="323"/>
      <c r="R36" s="259"/>
      <c r="S36" s="261"/>
      <c r="T36" s="274"/>
      <c r="U36" s="298"/>
      <c r="V36" s="298"/>
      <c r="W36" s="275"/>
      <c r="X36" s="129"/>
      <c r="Y36" s="274"/>
      <c r="Z36" s="298"/>
      <c r="AA36" s="275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2:38" ht="31.5" customHeight="1">
      <c r="B37" s="129"/>
      <c r="C37" s="129"/>
      <c r="D37" s="129"/>
      <c r="E37" s="129"/>
      <c r="F37" s="129"/>
      <c r="G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2:38" ht="31.5" customHeight="1">
      <c r="B38" s="129"/>
      <c r="C38" s="129"/>
      <c r="D38" s="129"/>
      <c r="E38" s="129"/>
      <c r="F38" s="129"/>
      <c r="G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2:38" ht="31.5" customHeight="1">
      <c r="B39" s="129"/>
      <c r="C39" s="129"/>
      <c r="D39" s="129"/>
      <c r="E39" s="129"/>
      <c r="F39" s="129"/>
      <c r="G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2:38" ht="31.5" customHeight="1">
      <c r="B40" s="129"/>
      <c r="C40" s="129"/>
      <c r="D40" s="129"/>
      <c r="E40" s="129"/>
      <c r="F40" s="129"/>
      <c r="G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2:38" ht="31.5" customHeight="1">
      <c r="B41" s="129"/>
      <c r="C41" s="129"/>
      <c r="D41" s="129"/>
      <c r="E41" s="129"/>
      <c r="F41" s="129"/>
      <c r="G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2:38" ht="31.5" customHeight="1">
      <c r="B42" s="129"/>
      <c r="C42" s="129"/>
      <c r="D42" s="129"/>
      <c r="E42" s="129"/>
      <c r="F42" s="129"/>
      <c r="G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2:38" ht="31.5" customHeight="1">
      <c r="B43" s="129"/>
      <c r="C43" s="129"/>
      <c r="D43" s="129"/>
      <c r="E43" s="129"/>
      <c r="F43" s="129"/>
      <c r="G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2:38" ht="31.5" customHeight="1">
      <c r="B44" s="129"/>
      <c r="C44" s="129"/>
      <c r="D44" s="129"/>
      <c r="G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2:38" ht="31.5" customHeight="1">
      <c r="B45" s="129"/>
      <c r="C45" s="129"/>
      <c r="D45" s="129"/>
      <c r="G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2:38" ht="31.5" customHeight="1">
      <c r="B46" s="129"/>
      <c r="C46" s="129"/>
      <c r="D46" s="129"/>
      <c r="G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2:38" ht="31.5" customHeight="1">
      <c r="B47" s="129"/>
      <c r="C47" s="129"/>
      <c r="D47" s="129"/>
      <c r="G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2:38" ht="31.5" customHeight="1">
      <c r="B48" s="129"/>
      <c r="C48" s="129"/>
      <c r="D48" s="129"/>
      <c r="G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2:38" ht="31.5" customHeight="1">
      <c r="B49" s="129"/>
      <c r="C49" s="129"/>
      <c r="D49" s="129"/>
      <c r="G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2:38" ht="31.5" customHeight="1">
      <c r="B50" s="129"/>
      <c r="C50" s="129"/>
      <c r="D50" s="129"/>
      <c r="G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2:38" ht="31.5" customHeight="1">
      <c r="B51" s="129"/>
      <c r="C51" s="129"/>
      <c r="D51" s="129"/>
      <c r="G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2:38" ht="31.5" customHeight="1">
      <c r="B52" s="129"/>
      <c r="C52" s="129"/>
      <c r="D52" s="129"/>
      <c r="G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2:38" ht="31.5" customHeight="1">
      <c r="B53" s="129"/>
      <c r="C53" s="129"/>
      <c r="D53" s="129"/>
      <c r="G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2:38" ht="31.5" customHeight="1">
      <c r="B54" s="129"/>
      <c r="C54" s="129"/>
      <c r="D54" s="129"/>
      <c r="E54" s="129"/>
      <c r="F54" s="129"/>
      <c r="G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2:38" ht="31.5" customHeight="1">
      <c r="B55" s="129"/>
      <c r="C55" s="129"/>
      <c r="D55" s="129"/>
      <c r="E55" s="129"/>
      <c r="F55" s="129"/>
      <c r="G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2:38" ht="31.5" customHeight="1">
      <c r="B56" s="129"/>
      <c r="C56" s="129"/>
      <c r="D56" s="129"/>
      <c r="E56" s="129"/>
      <c r="F56" s="129"/>
      <c r="G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2:38" ht="31.5" customHeight="1">
      <c r="B57" s="129"/>
      <c r="C57" s="129"/>
      <c r="D57" s="129"/>
      <c r="E57" s="129"/>
      <c r="F57" s="129"/>
      <c r="G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2:38" ht="31.5" customHeight="1"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2:38" ht="31.5" customHeight="1"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2:38" ht="31.5" customHeight="1"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2:38" ht="31.5" customHeight="1"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2:38" ht="31.5" customHeight="1"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2:38" ht="31.5" customHeight="1"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2:38" ht="31.5" customHeight="1"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2:38" ht="31.5" customHeight="1"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2:38" ht="31.5" customHeight="1"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2:38" ht="31.5" customHeight="1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2:38" ht="31.5" customHeight="1"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2:38" ht="31.5" customHeight="1"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2:38" ht="31.5" customHeight="1"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2:38" ht="31.5" customHeight="1"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2:38" ht="31.5" customHeight="1"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2:38" ht="31.5" customHeight="1"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2:38" ht="31.5" customHeight="1"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2:38" ht="31.5" customHeight="1"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2:38" ht="31.5" customHeight="1"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2:38" ht="31.5" customHeight="1"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2:38" ht="31.5" customHeight="1"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2:38" ht="31.5" customHeight="1"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2:38" ht="31.5" customHeight="1"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2:38" ht="31.5" customHeight="1"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2:38" ht="31.5" customHeight="1"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2:38" ht="31.5" customHeight="1"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2:38" ht="31.5" customHeight="1"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2:38" ht="31.5" customHeight="1"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2:38" ht="31.5" customHeight="1"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2:38" ht="31.5" customHeight="1"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2:38" ht="31.5" customHeight="1"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2:38" ht="31.5" customHeight="1"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2:38" ht="31.5" customHeight="1"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2:38" ht="31.5" customHeight="1"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2:38" ht="31.5" customHeight="1"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2:38" ht="31.5" customHeight="1"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2:38" ht="31.5" customHeight="1"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2:38" ht="31.5" customHeight="1"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2:38" ht="31.5" customHeight="1"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2:38" ht="31.5" customHeight="1"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2:38" ht="31.5" customHeight="1"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2:38" ht="31.5" customHeight="1"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2:38" ht="31.5" customHeight="1"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2:38" ht="31.5" customHeight="1"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2:38" ht="31.5" customHeight="1"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2:38" ht="31.5" customHeight="1"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2:38" ht="31.5" customHeight="1"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2:38" ht="31.5" customHeight="1"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2:38" ht="31.5" customHeight="1"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2:38" ht="31.5" customHeight="1"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2:38" ht="31.5" customHeight="1"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2:38" ht="31.5" customHeight="1"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2:38" ht="31.5" customHeight="1"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2:38" ht="31.5" customHeight="1"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2:38" ht="31.5" customHeight="1"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2:38" ht="31.5" customHeight="1"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2:38" ht="31.5" customHeight="1"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2:38" ht="31.5" customHeight="1"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2:38" ht="31.5" customHeight="1"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2:38" ht="31.5" customHeight="1"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2:38" ht="31.5" customHeight="1"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2:38" ht="31.5" customHeight="1"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2:38" ht="15.75" customHeight="1"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2:38" ht="15.75" customHeight="1"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2:38" ht="15.75" customHeight="1"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2:38" ht="15.75" customHeight="1"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2:38" ht="15.75" customHeight="1"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2:38" ht="15.75" customHeight="1"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2:38" ht="15.75" customHeight="1"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2:38" ht="15.75" customHeight="1"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2:38" ht="15.75" customHeight="1"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2:38" ht="15.75" customHeight="1"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2:38" ht="15.75" customHeight="1"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2:38" ht="15.75" customHeight="1"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2:38" ht="15.75" customHeight="1"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2:38" ht="15.75" customHeight="1"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2:38" ht="15.75" customHeight="1"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2:38" ht="15.75" customHeight="1"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2:38" ht="15.75" customHeight="1"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2:38" ht="15.75" customHeight="1"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2:38" ht="15.75" customHeight="1"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2:38" ht="15.75" customHeight="1"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2:38" ht="15.75" customHeight="1"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2:38" ht="15.75" customHeight="1"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2:38" ht="15.75" customHeight="1"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2:38" ht="15.75" customHeight="1"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2:38" ht="15.75" customHeight="1"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2:38" ht="15.75" customHeight="1"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2:38" ht="15.75" customHeight="1"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2:38" ht="15.75" customHeight="1"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2:38" ht="15.75" customHeight="1"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2:38" ht="15.75" customHeight="1"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2:38" ht="15.75" customHeight="1"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2:38" ht="15.75" customHeight="1"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2:38" ht="15.75" customHeight="1"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2:38" ht="15.75" customHeight="1"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2:38" ht="15.75" customHeight="1"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2:38" ht="15.75" customHeight="1"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2:38" ht="15.75" customHeight="1"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2:38" ht="15.75" customHeight="1"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2:38" ht="15.75" customHeight="1"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2:38" ht="15.75" customHeight="1"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2:38" ht="15.75" customHeight="1"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2:38" ht="15.75" customHeight="1"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2:38" ht="15.75" customHeight="1"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2:38" ht="15.75" customHeight="1"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2:38" ht="15.75" customHeight="1"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2:38" ht="15.75" customHeight="1"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2:38" ht="15.75" customHeight="1"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2:38" ht="15.75" customHeight="1"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2:38" ht="15.75" customHeight="1"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2:38" ht="15.75" customHeight="1"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2:38" ht="15.75" customHeight="1"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2:38" ht="15.75" customHeight="1"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2:38" ht="15.75" customHeight="1"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2:38" ht="15.75" customHeight="1"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2:38" ht="15.75" customHeight="1"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2:38" ht="15.75" customHeight="1"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2:38" ht="15.75" customHeight="1"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2:38" ht="15.75" customHeight="1"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2:38" ht="15.75" customHeight="1"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2:38" ht="15.75" customHeight="1"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2:38" ht="15.75" customHeight="1"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2:38" ht="15.75" customHeight="1"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2:38" ht="15.75" customHeight="1"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2:38" ht="15.75" customHeight="1"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2:38" ht="15.75" customHeight="1"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2:38" ht="15.75" customHeight="1"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2:38" ht="15.75" customHeight="1"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2:38" ht="15.75" customHeight="1"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2:38" ht="15.75" customHeight="1"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2:38" ht="15.75" customHeight="1"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2:38" ht="15.75" customHeight="1"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2:38" ht="15.75" customHeight="1"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2:38" ht="15.75" customHeight="1"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2:38" ht="15.75" customHeight="1"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2:38" ht="15.75" customHeight="1"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2:38" ht="15.75" customHeight="1"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2:38" ht="15.75" customHeight="1"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2:38" ht="15.75" customHeight="1"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2:38" ht="15.75" customHeight="1"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2:38" ht="15.75" customHeight="1"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2:38" ht="15.75" customHeight="1"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2:38" ht="15.75" customHeight="1"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2:38" ht="15.75" customHeight="1"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2:38" ht="15.75" customHeight="1"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2:38" ht="15.75" customHeight="1"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2:38" ht="15.75" customHeight="1"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2:38" ht="15.75" customHeight="1"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2:38" ht="15.75" customHeight="1"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2:38" ht="15.75" customHeight="1"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2:38" ht="15.75" customHeight="1"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2:38" ht="15.75" customHeight="1"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2:38" ht="15.75" customHeight="1"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</row>
    <row r="212" spans="2:38" ht="15.75" customHeight="1"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</row>
    <row r="213" spans="2:38" ht="15.75" customHeight="1"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</row>
    <row r="214" spans="2:38" ht="15.75" customHeight="1"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2:38" ht="15.75" customHeight="1"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2:38" ht="15.75" customHeight="1"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2:38" ht="15.75" customHeight="1"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2:38" ht="15.75" customHeight="1"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2:38" ht="15.75" customHeight="1"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2:38" ht="15.75" customHeight="1"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2:38" ht="15.75" customHeight="1"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2:38" ht="15.75" customHeight="1"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2:38" ht="15.75" customHeight="1"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2:38" ht="15.75" customHeight="1"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2:38" ht="15.75" customHeight="1"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88"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Q27:Q28"/>
    <mergeCell ref="Q35:Q36"/>
    <mergeCell ref="Q31:Q32"/>
    <mergeCell ref="Q33:Q34"/>
    <mergeCell ref="R29:S30"/>
    <mergeCell ref="E27:F32"/>
    <mergeCell ref="B27:C28"/>
    <mergeCell ref="B31:C32"/>
    <mergeCell ref="D31:D32"/>
    <mergeCell ref="J25:J26"/>
    <mergeCell ref="D23:D24"/>
    <mergeCell ref="H22:I22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H27:I28"/>
    <mergeCell ref="D29:D30"/>
    <mergeCell ref="H29:I30"/>
    <mergeCell ref="J29:J30"/>
    <mergeCell ref="H25:I26"/>
    <mergeCell ref="K18:K19"/>
    <mergeCell ref="H20:K20"/>
    <mergeCell ref="K27:L32"/>
    <mergeCell ref="J23:J24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L12:L13"/>
    <mergeCell ref="H12:H13"/>
    <mergeCell ref="H14:H15"/>
    <mergeCell ref="I14:I15"/>
    <mergeCell ref="N35:P36"/>
    <mergeCell ref="Q10:Q11"/>
    <mergeCell ref="Y20:Z20"/>
    <mergeCell ref="Y23:AA24"/>
    <mergeCell ref="Y25:AA26"/>
    <mergeCell ref="Y27:AA28"/>
    <mergeCell ref="Y29:AA30"/>
    <mergeCell ref="Y31:AA32"/>
    <mergeCell ref="Y33:AA34"/>
    <mergeCell ref="Y35:AA36"/>
    <mergeCell ref="V16:V17"/>
    <mergeCell ref="T16:T17"/>
    <mergeCell ref="T22:W22"/>
    <mergeCell ref="T23:W26"/>
    <mergeCell ref="P16:P17"/>
    <mergeCell ref="Q16:Q17"/>
    <mergeCell ref="Y12:Z13"/>
    <mergeCell ref="Y14:Z15"/>
    <mergeCell ref="AA14:AA15"/>
    <mergeCell ref="W16:W17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AB6:AC6"/>
    <mergeCell ref="T10:T11"/>
    <mergeCell ref="S12:S13"/>
    <mergeCell ref="T12:T13"/>
    <mergeCell ref="N8:W8"/>
    <mergeCell ref="Y8:AA8"/>
    <mergeCell ref="Y9:Z9"/>
    <mergeCell ref="Y10:Z11"/>
    <mergeCell ref="AA10:AA11"/>
    <mergeCell ref="AA12:AA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K12:K13"/>
    <mergeCell ref="I12:I13"/>
    <mergeCell ref="J12:J13"/>
    <mergeCell ref="N12:N13"/>
    <mergeCell ref="F12:F13"/>
    <mergeCell ref="Y22:AA22"/>
    <mergeCell ref="P18:P19"/>
    <mergeCell ref="Q18:Q19"/>
    <mergeCell ref="Y16:Z17"/>
    <mergeCell ref="AA16:AA17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4"/>
      <c r="K3" s="214"/>
      <c r="L3" s="339" t="s">
        <v>40</v>
      </c>
      <c r="M3" s="214"/>
      <c r="N3" s="214"/>
      <c r="O3" s="214"/>
      <c r="P3" s="214"/>
      <c r="Q3" s="214"/>
      <c r="R3" s="214"/>
      <c r="S3" s="214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216" t="s">
        <v>2</v>
      </c>
      <c r="C6" s="217"/>
      <c r="D6" s="218"/>
      <c r="E6" s="175"/>
      <c r="F6" s="29"/>
      <c r="G6" s="25"/>
      <c r="H6" s="30"/>
      <c r="I6" s="3"/>
      <c r="J6" s="3"/>
      <c r="K6" s="216" t="s">
        <v>3</v>
      </c>
      <c r="L6" s="217"/>
      <c r="M6" s="219" t="s">
        <v>41</v>
      </c>
      <c r="N6" s="175"/>
      <c r="O6" s="3"/>
      <c r="P6" s="3"/>
      <c r="Q6" s="3"/>
      <c r="R6" s="4" t="s">
        <v>5</v>
      </c>
      <c r="S6" s="5">
        <f ca="1">TODAY()</f>
        <v>46001</v>
      </c>
      <c r="T6" s="220"/>
      <c r="U6" s="214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94" t="s">
        <v>47</v>
      </c>
      <c r="C8" s="183"/>
      <c r="D8" s="183"/>
      <c r="E8" s="183"/>
      <c r="F8" s="183"/>
      <c r="G8" s="183"/>
      <c r="H8" s="183"/>
      <c r="I8" s="175"/>
      <c r="J8" s="6"/>
      <c r="K8" s="174" t="s">
        <v>7</v>
      </c>
      <c r="L8" s="183"/>
      <c r="M8" s="183"/>
      <c r="N8" s="183"/>
      <c r="O8" s="175"/>
      <c r="P8" s="6"/>
      <c r="Q8" s="216" t="s">
        <v>8</v>
      </c>
      <c r="R8" s="183"/>
      <c r="S8" s="175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38"/>
      <c r="R9" s="175"/>
      <c r="S9" s="31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25">
        <v>1</v>
      </c>
      <c r="C10" s="226"/>
      <c r="D10" s="223">
        <v>190</v>
      </c>
      <c r="E10" s="223">
        <v>190</v>
      </c>
      <c r="F10" s="348" t="s">
        <v>52</v>
      </c>
      <c r="G10" s="223">
        <v>450</v>
      </c>
      <c r="H10" s="250">
        <v>0.5</v>
      </c>
      <c r="I10" s="223">
        <f>(G10*H10)+G10+E10+D10</f>
        <v>1055</v>
      </c>
      <c r="J10" s="12"/>
      <c r="K10" s="223">
        <v>1330</v>
      </c>
      <c r="L10" s="223">
        <v>1330</v>
      </c>
      <c r="M10" s="223">
        <v>1330</v>
      </c>
      <c r="N10" s="223">
        <v>760</v>
      </c>
      <c r="O10" s="223">
        <f>SUM(K10:N10)</f>
        <v>4750</v>
      </c>
      <c r="P10" s="12"/>
      <c r="Q10" s="330" t="s">
        <v>53</v>
      </c>
      <c r="R10" s="167"/>
      <c r="S10" s="331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73"/>
      <c r="C11" s="173"/>
      <c r="D11" s="173"/>
      <c r="E11" s="173"/>
      <c r="F11" s="173"/>
      <c r="G11" s="173"/>
      <c r="H11" s="173"/>
      <c r="I11" s="173"/>
      <c r="J11" s="12"/>
      <c r="K11" s="173"/>
      <c r="L11" s="173"/>
      <c r="M11" s="173"/>
      <c r="N11" s="173"/>
      <c r="O11" s="173"/>
      <c r="P11" s="12"/>
      <c r="Q11" s="168"/>
      <c r="R11" s="170"/>
      <c r="S11" s="173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33">
        <v>2</v>
      </c>
      <c r="C12" s="233"/>
      <c r="D12" s="224">
        <v>190</v>
      </c>
      <c r="E12" s="224">
        <v>190</v>
      </c>
      <c r="F12" s="349" t="s">
        <v>52</v>
      </c>
      <c r="G12" s="224">
        <v>450</v>
      </c>
      <c r="H12" s="251">
        <v>1</v>
      </c>
      <c r="I12" s="224">
        <f>(G12*H12)+G12+E12+D12</f>
        <v>1280</v>
      </c>
      <c r="J12" s="12"/>
      <c r="K12" s="172"/>
      <c r="L12" s="172"/>
      <c r="M12" s="224"/>
      <c r="N12" s="172"/>
      <c r="O12" s="224">
        <f>SUM(K12:N12)</f>
        <v>0</v>
      </c>
      <c r="P12" s="12"/>
      <c r="Q12" s="330" t="s">
        <v>21</v>
      </c>
      <c r="R12" s="167"/>
      <c r="S12" s="332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73"/>
      <c r="C13" s="173"/>
      <c r="D13" s="173"/>
      <c r="E13" s="173"/>
      <c r="F13" s="173"/>
      <c r="G13" s="173"/>
      <c r="H13" s="173"/>
      <c r="I13" s="173"/>
      <c r="J13" s="12"/>
      <c r="K13" s="173"/>
      <c r="L13" s="173"/>
      <c r="M13" s="173"/>
      <c r="N13" s="173"/>
      <c r="O13" s="173"/>
      <c r="P13" s="12"/>
      <c r="Q13" s="168"/>
      <c r="R13" s="170"/>
      <c r="S13" s="17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205" t="s">
        <v>53</v>
      </c>
      <c r="C14" s="183"/>
      <c r="D14" s="183"/>
      <c r="E14" s="183"/>
      <c r="F14" s="183"/>
      <c r="G14" s="183"/>
      <c r="H14" s="175"/>
      <c r="I14" s="32">
        <f>SUM(I10:I13)</f>
        <v>2335</v>
      </c>
      <c r="J14" s="13"/>
      <c r="K14" s="206" t="s">
        <v>21</v>
      </c>
      <c r="L14" s="183"/>
      <c r="M14" s="183"/>
      <c r="N14" s="175"/>
      <c r="O14" s="15">
        <f>SUM(O10:O13)</f>
        <v>4750</v>
      </c>
      <c r="P14" s="13"/>
      <c r="Q14" s="333" t="s">
        <v>25</v>
      </c>
      <c r="R14" s="175"/>
      <c r="S14" s="33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94" t="s">
        <v>26</v>
      </c>
      <c r="C16" s="183"/>
      <c r="D16" s="175"/>
      <c r="E16" s="17" t="s">
        <v>9</v>
      </c>
      <c r="F16" s="194" t="s">
        <v>27</v>
      </c>
      <c r="G16" s="183"/>
      <c r="H16" s="183"/>
      <c r="I16" s="175"/>
      <c r="J16" s="6"/>
      <c r="K16" s="347" t="s">
        <v>26</v>
      </c>
      <c r="L16" s="326"/>
      <c r="M16" s="34" t="s">
        <v>9</v>
      </c>
      <c r="N16" s="347" t="s">
        <v>27</v>
      </c>
      <c r="O16" s="326"/>
      <c r="P16" s="6"/>
      <c r="Q16" s="324" t="s">
        <v>28</v>
      </c>
      <c r="R16" s="325"/>
      <c r="S16" s="326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35" t="s">
        <v>54</v>
      </c>
      <c r="C17" s="166"/>
      <c r="D17" s="167"/>
      <c r="E17" s="197">
        <f>COUNT(B10:B13)</f>
        <v>2</v>
      </c>
      <c r="F17" s="346" t="s">
        <v>55</v>
      </c>
      <c r="G17" s="166"/>
      <c r="H17" s="166"/>
      <c r="I17" s="167"/>
      <c r="J17" s="19"/>
      <c r="K17" s="336" t="s">
        <v>60</v>
      </c>
      <c r="L17" s="228"/>
      <c r="M17" s="248">
        <f>COUNT(K10:K13)</f>
        <v>1</v>
      </c>
      <c r="N17" s="241" t="s">
        <v>32</v>
      </c>
      <c r="O17" s="236"/>
      <c r="P17" s="19"/>
      <c r="Q17" s="327"/>
      <c r="R17" s="328"/>
      <c r="S17" s="236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68"/>
      <c r="C18" s="169"/>
      <c r="D18" s="170"/>
      <c r="E18" s="173"/>
      <c r="F18" s="177"/>
      <c r="G18" s="214"/>
      <c r="H18" s="214"/>
      <c r="I18" s="178"/>
      <c r="J18" s="19"/>
      <c r="K18" s="229"/>
      <c r="L18" s="230"/>
      <c r="M18" s="240"/>
      <c r="N18" s="242"/>
      <c r="O18" s="178"/>
      <c r="P18" s="19"/>
      <c r="Q18" s="229"/>
      <c r="R18" s="329"/>
      <c r="S18" s="244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43" t="s">
        <v>49</v>
      </c>
      <c r="C19" s="166"/>
      <c r="D19" s="167"/>
      <c r="E19" s="184">
        <f>COUNT(B10:B13)</f>
        <v>2</v>
      </c>
      <c r="F19" s="177"/>
      <c r="G19" s="214"/>
      <c r="H19" s="214"/>
      <c r="I19" s="178"/>
      <c r="J19" s="19"/>
      <c r="K19" s="344" t="s">
        <v>15</v>
      </c>
      <c r="L19" s="228"/>
      <c r="M19" s="246">
        <f>COUNT(L10:L13)</f>
        <v>1</v>
      </c>
      <c r="N19" s="242"/>
      <c r="O19" s="178"/>
      <c r="P19" s="19"/>
      <c r="Q19" s="340"/>
      <c r="R19" s="328"/>
      <c r="S19" s="236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68"/>
      <c r="C20" s="169"/>
      <c r="D20" s="170"/>
      <c r="E20" s="173"/>
      <c r="F20" s="168"/>
      <c r="G20" s="169"/>
      <c r="H20" s="169"/>
      <c r="I20" s="170"/>
      <c r="J20" s="19"/>
      <c r="K20" s="229"/>
      <c r="L20" s="230"/>
      <c r="M20" s="240"/>
      <c r="N20" s="243"/>
      <c r="O20" s="244"/>
      <c r="P20" s="19"/>
      <c r="Q20" s="229"/>
      <c r="R20" s="329"/>
      <c r="S20" s="244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35" t="s">
        <v>34</v>
      </c>
      <c r="C21" s="166"/>
      <c r="D21" s="167"/>
      <c r="E21" s="197">
        <v>0</v>
      </c>
      <c r="F21" s="337" t="s">
        <v>57</v>
      </c>
      <c r="G21" s="166"/>
      <c r="H21" s="166"/>
      <c r="I21" s="167"/>
      <c r="J21" s="19"/>
      <c r="K21" s="336" t="s">
        <v>16</v>
      </c>
      <c r="L21" s="228"/>
      <c r="M21" s="248">
        <f>COUNT(M10:M13)</f>
        <v>1</v>
      </c>
      <c r="N21" s="235" t="s">
        <v>36</v>
      </c>
      <c r="O21" s="328"/>
      <c r="P21" s="20"/>
      <c r="Q21" s="341"/>
      <c r="R21" s="328"/>
      <c r="S21" s="236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68"/>
      <c r="C22" s="169"/>
      <c r="D22" s="170"/>
      <c r="E22" s="173"/>
      <c r="F22" s="177"/>
      <c r="G22" s="214"/>
      <c r="H22" s="214"/>
      <c r="I22" s="178"/>
      <c r="J22" s="19"/>
      <c r="K22" s="229"/>
      <c r="L22" s="230"/>
      <c r="M22" s="240"/>
      <c r="N22" s="214"/>
      <c r="O22" s="214"/>
      <c r="P22" s="20"/>
      <c r="Q22" s="229"/>
      <c r="R22" s="329"/>
      <c r="S22" s="244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43" t="s">
        <v>37</v>
      </c>
      <c r="C23" s="166"/>
      <c r="D23" s="167"/>
      <c r="E23" s="184">
        <v>0</v>
      </c>
      <c r="F23" s="177"/>
      <c r="G23" s="214"/>
      <c r="H23" s="214"/>
      <c r="I23" s="178"/>
      <c r="J23" s="19"/>
      <c r="K23" s="344" t="s">
        <v>17</v>
      </c>
      <c r="L23" s="228"/>
      <c r="M23" s="345">
        <f>COUNT(N10:N13)</f>
        <v>1</v>
      </c>
      <c r="N23" s="214"/>
      <c r="O23" s="214"/>
      <c r="P23" s="20"/>
      <c r="Q23" s="342"/>
      <c r="R23" s="328"/>
      <c r="S23" s="236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68"/>
      <c r="C24" s="169"/>
      <c r="D24" s="170"/>
      <c r="E24" s="173"/>
      <c r="F24" s="168"/>
      <c r="G24" s="169"/>
      <c r="H24" s="169"/>
      <c r="I24" s="170"/>
      <c r="J24" s="35"/>
      <c r="K24" s="229"/>
      <c r="L24" s="230"/>
      <c r="M24" s="240"/>
      <c r="N24" s="214"/>
      <c r="O24" s="214"/>
      <c r="P24" s="20"/>
      <c r="Q24" s="229"/>
      <c r="R24" s="329"/>
      <c r="S24" s="244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35" t="s">
        <v>38</v>
      </c>
      <c r="C25" s="166"/>
      <c r="D25" s="167"/>
      <c r="E25" s="172">
        <f>COUNT(B10:B13)</f>
        <v>2</v>
      </c>
      <c r="F25" s="337" t="s">
        <v>61</v>
      </c>
      <c r="G25" s="166"/>
      <c r="H25" s="166"/>
      <c r="I25" s="167"/>
      <c r="J25" s="35"/>
      <c r="K25" s="336" t="s">
        <v>39</v>
      </c>
      <c r="L25" s="228"/>
      <c r="M25" s="248">
        <v>0</v>
      </c>
      <c r="N25" s="214"/>
      <c r="O25" s="214"/>
      <c r="P25" s="36"/>
      <c r="Q25" s="341"/>
      <c r="R25" s="328"/>
      <c r="S25" s="236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68"/>
      <c r="C26" s="169"/>
      <c r="D26" s="170"/>
      <c r="E26" s="173"/>
      <c r="F26" s="168"/>
      <c r="G26" s="169"/>
      <c r="H26" s="169"/>
      <c r="I26" s="170"/>
      <c r="J26" s="35"/>
      <c r="K26" s="168"/>
      <c r="L26" s="247"/>
      <c r="M26" s="249"/>
      <c r="N26" s="169"/>
      <c r="O26" s="169"/>
      <c r="P26" s="36"/>
      <c r="Q26" s="168"/>
      <c r="R26" s="169"/>
      <c r="S26" s="170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34"/>
      <c r="C28" s="214"/>
      <c r="D28" s="214"/>
      <c r="E28" s="214"/>
      <c r="F28" s="214"/>
      <c r="G28" s="214"/>
      <c r="H28" s="214"/>
      <c r="I28" s="214"/>
      <c r="J28" s="214"/>
      <c r="K28" s="214"/>
      <c r="L28" s="214"/>
      <c r="M28" s="214"/>
      <c r="N28" s="214"/>
      <c r="O28" s="214"/>
      <c r="P28" s="214"/>
      <c r="Q28" s="214"/>
      <c r="R28" s="214"/>
      <c r="S28" s="214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213" t="s">
        <v>0</v>
      </c>
      <c r="C3" s="214"/>
      <c r="D3" s="214"/>
      <c r="E3" s="214"/>
      <c r="F3" s="214"/>
      <c r="G3" s="214"/>
      <c r="H3" s="215" t="s">
        <v>40</v>
      </c>
      <c r="I3" s="214"/>
      <c r="J3" s="214"/>
      <c r="K3" s="214"/>
      <c r="L3" s="214"/>
      <c r="M3" s="214"/>
      <c r="N3" s="214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216" t="s">
        <v>2</v>
      </c>
      <c r="C6" s="217"/>
      <c r="D6" s="218"/>
      <c r="E6" s="175"/>
      <c r="F6" s="29"/>
      <c r="G6" s="25"/>
      <c r="H6" s="26"/>
      <c r="I6" s="26"/>
      <c r="J6" s="3"/>
      <c r="K6" s="3"/>
      <c r="L6" s="3"/>
      <c r="M6" s="4" t="s">
        <v>5</v>
      </c>
      <c r="N6" s="5">
        <f ca="1">TODAY()</f>
        <v>46001</v>
      </c>
      <c r="O6" s="220"/>
      <c r="P6" s="214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94" t="s">
        <v>62</v>
      </c>
      <c r="C8" s="183"/>
      <c r="D8" s="183"/>
      <c r="E8" s="183"/>
      <c r="F8" s="183"/>
      <c r="G8" s="183"/>
      <c r="H8" s="183"/>
      <c r="I8" s="183"/>
      <c r="J8" s="175"/>
      <c r="K8" s="6"/>
      <c r="L8" s="324" t="s">
        <v>8</v>
      </c>
      <c r="M8" s="325"/>
      <c r="N8" s="326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53" t="s">
        <v>12</v>
      </c>
      <c r="F9" s="175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38"/>
      <c r="M9" s="175"/>
      <c r="N9" s="31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25">
        <v>1</v>
      </c>
      <c r="C10" s="226" t="s">
        <v>67</v>
      </c>
      <c r="D10" s="223">
        <v>450</v>
      </c>
      <c r="E10" s="354"/>
      <c r="F10" s="167"/>
      <c r="G10" s="185">
        <v>2</v>
      </c>
      <c r="H10" s="223">
        <f>G10*D10</f>
        <v>900</v>
      </c>
      <c r="I10" s="250"/>
      <c r="J10" s="223">
        <f>(H10*E10)+H10</f>
        <v>900</v>
      </c>
      <c r="K10" s="12"/>
      <c r="L10" s="330" t="s">
        <v>68</v>
      </c>
      <c r="M10" s="167"/>
      <c r="N10" s="331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73"/>
      <c r="C11" s="173"/>
      <c r="D11" s="173"/>
      <c r="E11" s="168"/>
      <c r="F11" s="170"/>
      <c r="G11" s="173"/>
      <c r="H11" s="173"/>
      <c r="I11" s="173"/>
      <c r="J11" s="173"/>
      <c r="K11" s="12"/>
      <c r="L11" s="177"/>
      <c r="M11" s="178"/>
      <c r="N11" s="350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33">
        <v>2</v>
      </c>
      <c r="C12" s="233"/>
      <c r="D12" s="224">
        <v>450</v>
      </c>
      <c r="E12" s="351"/>
      <c r="F12" s="167"/>
      <c r="G12" s="172">
        <v>1</v>
      </c>
      <c r="H12" s="224">
        <f>G12*D12</f>
        <v>450</v>
      </c>
      <c r="I12" s="251"/>
      <c r="J12" s="224">
        <f>(H12*E12)+H12</f>
        <v>450</v>
      </c>
      <c r="K12" s="12"/>
      <c r="L12" s="177"/>
      <c r="M12" s="178"/>
      <c r="N12" s="350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73"/>
      <c r="C13" s="173"/>
      <c r="D13" s="173"/>
      <c r="E13" s="168"/>
      <c r="F13" s="170"/>
      <c r="G13" s="173"/>
      <c r="H13" s="173"/>
      <c r="I13" s="173"/>
      <c r="J13" s="173"/>
      <c r="K13" s="12"/>
      <c r="L13" s="168"/>
      <c r="M13" s="170"/>
      <c r="N13" s="17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205" t="s">
        <v>53</v>
      </c>
      <c r="C14" s="183"/>
      <c r="D14" s="183"/>
      <c r="E14" s="183"/>
      <c r="F14" s="183"/>
      <c r="G14" s="183"/>
      <c r="H14" s="175"/>
      <c r="I14" s="38"/>
      <c r="J14" s="32">
        <f>SUM(J10:J13)</f>
        <v>1350</v>
      </c>
      <c r="K14" s="13"/>
      <c r="L14" s="333" t="s">
        <v>25</v>
      </c>
      <c r="M14" s="175"/>
      <c r="N14" s="33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94" t="s">
        <v>26</v>
      </c>
      <c r="C16" s="183"/>
      <c r="D16" s="175"/>
      <c r="E16" s="17" t="s">
        <v>9</v>
      </c>
      <c r="F16" s="194" t="s">
        <v>27</v>
      </c>
      <c r="G16" s="183"/>
      <c r="H16" s="183"/>
      <c r="I16" s="183"/>
      <c r="J16" s="175"/>
      <c r="K16" s="6"/>
      <c r="L16" s="324" t="s">
        <v>28</v>
      </c>
      <c r="M16" s="325"/>
      <c r="N16" s="326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35" t="s">
        <v>48</v>
      </c>
      <c r="C17" s="166"/>
      <c r="D17" s="167"/>
      <c r="E17" s="197">
        <v>0</v>
      </c>
      <c r="F17" s="352" t="s">
        <v>55</v>
      </c>
      <c r="G17" s="166"/>
      <c r="H17" s="166"/>
      <c r="I17" s="166"/>
      <c r="J17" s="167"/>
      <c r="K17" s="19"/>
      <c r="L17" s="327"/>
      <c r="M17" s="328"/>
      <c r="N17" s="236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68"/>
      <c r="C18" s="169"/>
      <c r="D18" s="170"/>
      <c r="E18" s="173"/>
      <c r="F18" s="177"/>
      <c r="G18" s="214"/>
      <c r="H18" s="214"/>
      <c r="I18" s="214"/>
      <c r="J18" s="178"/>
      <c r="K18" s="19"/>
      <c r="L18" s="229"/>
      <c r="M18" s="329"/>
      <c r="N18" s="244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43" t="s">
        <v>69</v>
      </c>
      <c r="C19" s="166"/>
      <c r="D19" s="167"/>
      <c r="E19" s="184">
        <v>0</v>
      </c>
      <c r="F19" s="177"/>
      <c r="G19" s="214"/>
      <c r="H19" s="214"/>
      <c r="I19" s="214"/>
      <c r="J19" s="178"/>
      <c r="K19" s="19"/>
      <c r="L19" s="340"/>
      <c r="M19" s="328"/>
      <c r="N19" s="236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68"/>
      <c r="C20" s="169"/>
      <c r="D20" s="170"/>
      <c r="E20" s="173"/>
      <c r="F20" s="168"/>
      <c r="G20" s="169"/>
      <c r="H20" s="169"/>
      <c r="I20" s="169"/>
      <c r="J20" s="170"/>
      <c r="K20" s="19"/>
      <c r="L20" s="229"/>
      <c r="M20" s="329"/>
      <c r="N20" s="2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35" t="s">
        <v>34</v>
      </c>
      <c r="C21" s="166"/>
      <c r="D21" s="167"/>
      <c r="E21" s="197">
        <v>0</v>
      </c>
      <c r="F21" s="337" t="s">
        <v>57</v>
      </c>
      <c r="G21" s="166"/>
      <c r="H21" s="166"/>
      <c r="I21" s="166"/>
      <c r="J21" s="167"/>
      <c r="K21" s="19"/>
      <c r="L21" s="341"/>
      <c r="M21" s="328"/>
      <c r="N21" s="236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68"/>
      <c r="C22" s="169"/>
      <c r="D22" s="170"/>
      <c r="E22" s="173"/>
      <c r="F22" s="177"/>
      <c r="G22" s="214"/>
      <c r="H22" s="214"/>
      <c r="I22" s="214"/>
      <c r="J22" s="178"/>
      <c r="K22" s="19"/>
      <c r="L22" s="229"/>
      <c r="M22" s="329"/>
      <c r="N22" s="2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43" t="s">
        <v>37</v>
      </c>
      <c r="C23" s="166"/>
      <c r="D23" s="167"/>
      <c r="E23" s="184">
        <v>0</v>
      </c>
      <c r="F23" s="177"/>
      <c r="G23" s="214"/>
      <c r="H23" s="214"/>
      <c r="I23" s="214"/>
      <c r="J23" s="178"/>
      <c r="K23" s="19"/>
      <c r="L23" s="342"/>
      <c r="M23" s="328"/>
      <c r="N23" s="236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68"/>
      <c r="C24" s="169"/>
      <c r="D24" s="170"/>
      <c r="E24" s="173"/>
      <c r="F24" s="168"/>
      <c r="G24" s="169"/>
      <c r="H24" s="169"/>
      <c r="I24" s="169"/>
      <c r="J24" s="170"/>
      <c r="K24" s="35"/>
      <c r="L24" s="229"/>
      <c r="M24" s="329"/>
      <c r="N24" s="2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35" t="s">
        <v>38</v>
      </c>
      <c r="C25" s="166"/>
      <c r="D25" s="167"/>
      <c r="E25" s="172">
        <v>0</v>
      </c>
      <c r="F25" s="337" t="s">
        <v>61</v>
      </c>
      <c r="G25" s="166"/>
      <c r="H25" s="166"/>
      <c r="I25" s="166"/>
      <c r="J25" s="167"/>
      <c r="K25" s="35"/>
      <c r="L25" s="341"/>
      <c r="M25" s="328"/>
      <c r="N25" s="236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68"/>
      <c r="C26" s="169"/>
      <c r="D26" s="170"/>
      <c r="E26" s="173"/>
      <c r="F26" s="168"/>
      <c r="G26" s="169"/>
      <c r="H26" s="169"/>
      <c r="I26" s="169"/>
      <c r="J26" s="170"/>
      <c r="K26" s="35"/>
      <c r="L26" s="168"/>
      <c r="M26" s="169"/>
      <c r="N26" s="170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topLeftCell="A7" zoomScale="55" zoomScaleNormal="55" workbookViewId="0">
      <selection activeCell="F10" sqref="F10:F11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4" width="25.85546875" customWidth="1"/>
    <col min="5" max="5" width="29.42578125" bestFit="1" customWidth="1"/>
    <col min="6" max="7" width="25.85546875" customWidth="1"/>
    <col min="8" max="8" width="29.42578125" bestFit="1" customWidth="1"/>
    <col min="9" max="9" width="30.85546875" bestFit="1" customWidth="1"/>
    <col min="10" max="11" width="25.85546875" customWidth="1"/>
    <col min="12" max="12" width="5.85546875" customWidth="1"/>
    <col min="13" max="17" width="25.85546875" customWidth="1"/>
    <col min="18" max="18" width="5.85546875" customWidth="1"/>
    <col min="19" max="19" width="25.85546875" customWidth="1"/>
    <col min="20" max="20" width="30.5703125" customWidth="1"/>
    <col min="21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4"/>
      <c r="K3" s="214"/>
      <c r="L3" s="339" t="s">
        <v>40</v>
      </c>
      <c r="M3" s="214"/>
      <c r="N3" s="214"/>
      <c r="O3" s="214"/>
      <c r="P3" s="214"/>
      <c r="Q3" s="214"/>
      <c r="R3" s="214"/>
      <c r="S3" s="214"/>
      <c r="T3" s="214"/>
      <c r="U3" s="214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382" t="s">
        <v>2</v>
      </c>
      <c r="C6" s="217"/>
      <c r="D6" s="383"/>
      <c r="E6" s="175"/>
      <c r="F6" s="29"/>
      <c r="G6" s="29"/>
      <c r="H6" s="29"/>
      <c r="I6" s="25"/>
      <c r="J6" s="26"/>
      <c r="K6" s="3"/>
      <c r="L6" s="3"/>
      <c r="M6" s="382" t="s">
        <v>3</v>
      </c>
      <c r="N6" s="217"/>
      <c r="O6" s="384"/>
      <c r="P6" s="175"/>
      <c r="Q6" s="3"/>
      <c r="R6" s="3"/>
      <c r="S6" s="3"/>
      <c r="T6" s="39" t="s">
        <v>5</v>
      </c>
      <c r="U6" s="40">
        <f ca="1">TODAY()</f>
        <v>46001</v>
      </c>
      <c r="V6" s="220"/>
      <c r="W6" s="214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380" t="s">
        <v>70</v>
      </c>
      <c r="C8" s="183"/>
      <c r="D8" s="183"/>
      <c r="E8" s="183"/>
      <c r="F8" s="183"/>
      <c r="G8" s="183"/>
      <c r="H8" s="183"/>
      <c r="I8" s="183"/>
      <c r="J8" s="183"/>
      <c r="K8" s="175"/>
      <c r="L8" s="6"/>
      <c r="M8" s="174" t="s">
        <v>7</v>
      </c>
      <c r="N8" s="183"/>
      <c r="O8" s="183"/>
      <c r="P8" s="183"/>
      <c r="Q8" s="175"/>
      <c r="R8" s="6"/>
      <c r="S8" s="324" t="s">
        <v>8</v>
      </c>
      <c r="T8" s="325"/>
      <c r="U8" s="326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1" t="s">
        <v>10</v>
      </c>
      <c r="D9" s="9" t="s">
        <v>48</v>
      </c>
      <c r="E9" s="9" t="s">
        <v>149</v>
      </c>
      <c r="F9" s="9" t="s">
        <v>51</v>
      </c>
      <c r="G9" s="9" t="s">
        <v>50</v>
      </c>
      <c r="H9" s="9" t="s">
        <v>58</v>
      </c>
      <c r="I9" s="9" t="s">
        <v>71</v>
      </c>
      <c r="J9" s="9" t="s">
        <v>152</v>
      </c>
      <c r="K9" s="9" t="s">
        <v>13</v>
      </c>
      <c r="L9" s="10"/>
      <c r="M9" s="9" t="s">
        <v>60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2"/>
      <c r="T9" s="43"/>
      <c r="U9" s="44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201">
        <v>1</v>
      </c>
      <c r="C10" s="372" t="s">
        <v>72</v>
      </c>
      <c r="D10" s="181">
        <v>95</v>
      </c>
      <c r="E10" s="181">
        <f>16*190</f>
        <v>3040</v>
      </c>
      <c r="F10" s="181">
        <f>90*18</f>
        <v>1620</v>
      </c>
      <c r="G10" s="181">
        <v>190</v>
      </c>
      <c r="H10" s="181">
        <f>190*2</f>
        <v>380</v>
      </c>
      <c r="I10" s="181">
        <f>F10</f>
        <v>1620</v>
      </c>
      <c r="J10" s="196"/>
      <c r="K10" s="181">
        <f>SUM(D10:J10)</f>
        <v>6945</v>
      </c>
      <c r="L10" s="123"/>
      <c r="M10" s="181">
        <v>1330</v>
      </c>
      <c r="N10" s="181">
        <v>1330</v>
      </c>
      <c r="O10" s="181">
        <v>1330</v>
      </c>
      <c r="P10" s="181">
        <v>760</v>
      </c>
      <c r="Q10" s="181">
        <f>SUM(M10:P10)</f>
        <v>4750</v>
      </c>
      <c r="R10" s="12"/>
      <c r="S10" s="330" t="s">
        <v>53</v>
      </c>
      <c r="T10" s="167"/>
      <c r="U10" s="381">
        <f>K14</f>
        <v>9960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23"/>
      <c r="M11" s="180"/>
      <c r="N11" s="180"/>
      <c r="O11" s="180"/>
      <c r="P11" s="180"/>
      <c r="Q11" s="180"/>
      <c r="R11" s="12"/>
      <c r="S11" s="168"/>
      <c r="T11" s="170"/>
      <c r="U11" s="173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203">
        <v>2</v>
      </c>
      <c r="C12" s="372" t="s">
        <v>151</v>
      </c>
      <c r="D12" s="179">
        <v>95</v>
      </c>
      <c r="E12" s="179">
        <v>190</v>
      </c>
      <c r="F12" s="179">
        <f>12*90</f>
        <v>1080</v>
      </c>
      <c r="G12" s="179">
        <v>190</v>
      </c>
      <c r="H12" s="179">
        <v>380</v>
      </c>
      <c r="I12" s="179">
        <v>1080</v>
      </c>
      <c r="J12" s="204"/>
      <c r="K12" s="181">
        <f>SUM(D12:J12)</f>
        <v>3015</v>
      </c>
      <c r="L12" s="123"/>
      <c r="M12" s="221"/>
      <c r="N12" s="221"/>
      <c r="O12" s="179"/>
      <c r="P12" s="221"/>
      <c r="Q12" s="179">
        <f>SUM(M12:P12)</f>
        <v>0</v>
      </c>
      <c r="R12" s="12"/>
      <c r="S12" s="378" t="s">
        <v>21</v>
      </c>
      <c r="T12" s="167"/>
      <c r="U12" s="332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80"/>
      <c r="C13" s="180"/>
      <c r="D13" s="373"/>
      <c r="E13" s="180"/>
      <c r="F13" s="180"/>
      <c r="G13" s="180"/>
      <c r="H13" s="180"/>
      <c r="I13" s="180"/>
      <c r="J13" s="180"/>
      <c r="K13" s="180"/>
      <c r="L13" s="123"/>
      <c r="M13" s="180"/>
      <c r="N13" s="180"/>
      <c r="O13" s="180"/>
      <c r="P13" s="180"/>
      <c r="Q13" s="180"/>
      <c r="R13" s="12"/>
      <c r="S13" s="168"/>
      <c r="T13" s="170"/>
      <c r="U13" s="173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376" t="s">
        <v>73</v>
      </c>
      <c r="C14" s="183"/>
      <c r="D14" s="183"/>
      <c r="E14" s="183"/>
      <c r="F14" s="183"/>
      <c r="G14" s="183"/>
      <c r="H14" s="183"/>
      <c r="I14" s="183"/>
      <c r="J14" s="175"/>
      <c r="K14" s="27">
        <f>SUM(K10:K13)</f>
        <v>9960</v>
      </c>
      <c r="L14" s="13"/>
      <c r="M14" s="206" t="s">
        <v>21</v>
      </c>
      <c r="N14" s="183"/>
      <c r="O14" s="183"/>
      <c r="P14" s="175"/>
      <c r="Q14" s="28">
        <f>SUM(Q10:Q13)</f>
        <v>4750</v>
      </c>
      <c r="R14" s="13"/>
      <c r="S14" s="379" t="s">
        <v>25</v>
      </c>
      <c r="T14" s="169"/>
      <c r="U14" s="45">
        <f>SUM(U10:U13)</f>
        <v>14710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377" t="s">
        <v>26</v>
      </c>
      <c r="C16" s="183"/>
      <c r="D16" s="175"/>
      <c r="E16" s="46" t="s">
        <v>9</v>
      </c>
      <c r="F16" s="377" t="s">
        <v>74</v>
      </c>
      <c r="G16" s="175"/>
      <c r="H16" s="377" t="s">
        <v>27</v>
      </c>
      <c r="I16" s="183"/>
      <c r="J16" s="183"/>
      <c r="K16" s="175"/>
      <c r="L16" s="47"/>
      <c r="M16" s="374" t="s">
        <v>26</v>
      </c>
      <c r="N16" s="175"/>
      <c r="O16" s="48" t="s">
        <v>9</v>
      </c>
      <c r="P16" s="374" t="s">
        <v>27</v>
      </c>
      <c r="Q16" s="175"/>
      <c r="R16" s="47"/>
      <c r="S16" s="375" t="s">
        <v>28</v>
      </c>
      <c r="T16" s="183"/>
      <c r="U16" s="175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335" t="s">
        <v>54</v>
      </c>
      <c r="C17" s="166"/>
      <c r="D17" s="167"/>
      <c r="E17" s="371">
        <v>2</v>
      </c>
      <c r="F17" s="362" t="s">
        <v>75</v>
      </c>
      <c r="G17" s="167"/>
      <c r="H17" s="352" t="s">
        <v>156</v>
      </c>
      <c r="I17" s="166"/>
      <c r="J17" s="166"/>
      <c r="K17" s="167"/>
      <c r="L17" s="19"/>
      <c r="M17" s="232" t="s">
        <v>60</v>
      </c>
      <c r="N17" s="167"/>
      <c r="O17" s="233">
        <f>COUNT(M10:M13)</f>
        <v>1</v>
      </c>
      <c r="P17" s="176" t="s">
        <v>32</v>
      </c>
      <c r="Q17" s="167"/>
      <c r="R17" s="19"/>
      <c r="S17" s="360"/>
      <c r="T17" s="357"/>
      <c r="U17" s="187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68"/>
      <c r="C18" s="169"/>
      <c r="D18" s="170"/>
      <c r="E18" s="173"/>
      <c r="F18" s="168"/>
      <c r="G18" s="170"/>
      <c r="H18" s="177"/>
      <c r="I18" s="214"/>
      <c r="J18" s="214"/>
      <c r="K18" s="178"/>
      <c r="L18" s="19"/>
      <c r="M18" s="168"/>
      <c r="N18" s="170"/>
      <c r="O18" s="173"/>
      <c r="P18" s="177"/>
      <c r="Q18" s="178"/>
      <c r="R18" s="19"/>
      <c r="S18" s="188"/>
      <c r="T18" s="358"/>
      <c r="U18" s="189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343" t="s">
        <v>149</v>
      </c>
      <c r="C19" s="166"/>
      <c r="D19" s="167"/>
      <c r="E19" s="225">
        <v>2</v>
      </c>
      <c r="F19" s="369" t="s">
        <v>76</v>
      </c>
      <c r="G19" s="167"/>
      <c r="H19" s="177"/>
      <c r="I19" s="214"/>
      <c r="J19" s="214"/>
      <c r="K19" s="178"/>
      <c r="L19" s="19"/>
      <c r="M19" s="234" t="s">
        <v>15</v>
      </c>
      <c r="N19" s="167"/>
      <c r="O19" s="225">
        <f>COUNT(N10:N13)</f>
        <v>1</v>
      </c>
      <c r="P19" s="177"/>
      <c r="Q19" s="178"/>
      <c r="R19" s="19"/>
      <c r="S19" s="361"/>
      <c r="T19" s="357"/>
      <c r="U19" s="187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68"/>
      <c r="C20" s="169"/>
      <c r="D20" s="170"/>
      <c r="E20" s="173"/>
      <c r="F20" s="168"/>
      <c r="G20" s="170"/>
      <c r="H20" s="177"/>
      <c r="I20" s="363"/>
      <c r="J20" s="363"/>
      <c r="K20" s="364"/>
      <c r="L20" s="19"/>
      <c r="M20" s="168"/>
      <c r="N20" s="170"/>
      <c r="O20" s="173"/>
      <c r="P20" s="168"/>
      <c r="Q20" s="170"/>
      <c r="R20" s="19"/>
      <c r="S20" s="188"/>
      <c r="T20" s="358"/>
      <c r="U20" s="189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335" t="s">
        <v>51</v>
      </c>
      <c r="C21" s="166"/>
      <c r="D21" s="167"/>
      <c r="E21" s="371">
        <v>2</v>
      </c>
      <c r="F21" s="355" t="s">
        <v>77</v>
      </c>
      <c r="G21" s="325"/>
      <c r="H21" s="365" t="s">
        <v>155</v>
      </c>
      <c r="I21" s="366"/>
      <c r="J21" s="366"/>
      <c r="K21" s="366"/>
      <c r="L21" s="19"/>
      <c r="M21" s="232" t="s">
        <v>16</v>
      </c>
      <c r="N21" s="167"/>
      <c r="O21" s="233">
        <f>COUNT(O10:O13)</f>
        <v>1</v>
      </c>
      <c r="P21" s="176" t="s">
        <v>36</v>
      </c>
      <c r="Q21" s="167"/>
      <c r="R21" s="19"/>
      <c r="S21" s="359"/>
      <c r="T21" s="357"/>
      <c r="U21" s="187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68"/>
      <c r="C22" s="169"/>
      <c r="D22" s="170"/>
      <c r="E22" s="173"/>
      <c r="F22" s="168"/>
      <c r="G22" s="370"/>
      <c r="H22" s="367"/>
      <c r="I22" s="368"/>
      <c r="J22" s="368"/>
      <c r="K22" s="363"/>
      <c r="L22" s="19"/>
      <c r="M22" s="168"/>
      <c r="N22" s="170"/>
      <c r="O22" s="173"/>
      <c r="P22" s="177"/>
      <c r="Q22" s="178"/>
      <c r="R22" s="19"/>
      <c r="S22" s="188"/>
      <c r="T22" s="358"/>
      <c r="U22" s="189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343" t="s">
        <v>150</v>
      </c>
      <c r="C23" s="166"/>
      <c r="D23" s="167"/>
      <c r="E23" s="225">
        <v>1</v>
      </c>
      <c r="F23" s="369" t="s">
        <v>78</v>
      </c>
      <c r="G23" s="325"/>
      <c r="H23" s="367"/>
      <c r="I23" s="368"/>
      <c r="J23" s="368"/>
      <c r="K23" s="363"/>
      <c r="L23" s="19"/>
      <c r="M23" s="234" t="s">
        <v>17</v>
      </c>
      <c r="N23" s="167"/>
      <c r="O23" s="226">
        <f>COUNT(P10:P13)</f>
        <v>1</v>
      </c>
      <c r="P23" s="177"/>
      <c r="Q23" s="178"/>
      <c r="R23" s="19"/>
      <c r="S23" s="356"/>
      <c r="T23" s="357"/>
      <c r="U23" s="187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68"/>
      <c r="C24" s="169"/>
      <c r="D24" s="170"/>
      <c r="E24" s="173"/>
      <c r="F24" s="168"/>
      <c r="G24" s="370"/>
      <c r="H24" s="367"/>
      <c r="I24" s="368"/>
      <c r="J24" s="368"/>
      <c r="K24" s="363"/>
      <c r="L24" s="19"/>
      <c r="M24" s="168"/>
      <c r="N24" s="170"/>
      <c r="O24" s="173"/>
      <c r="P24" s="177"/>
      <c r="Q24" s="178"/>
      <c r="R24" s="19"/>
      <c r="S24" s="188"/>
      <c r="T24" s="358"/>
      <c r="U24" s="189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335" t="s">
        <v>38</v>
      </c>
      <c r="C25" s="166"/>
      <c r="D25" s="167"/>
      <c r="E25" s="233">
        <v>2</v>
      </c>
      <c r="F25" s="355" t="s">
        <v>153</v>
      </c>
      <c r="G25" s="325"/>
      <c r="H25" s="367"/>
      <c r="I25" s="368"/>
      <c r="J25" s="368"/>
      <c r="K25" s="363"/>
      <c r="L25" s="19"/>
      <c r="M25" s="232" t="s">
        <v>39</v>
      </c>
      <c r="N25" s="167"/>
      <c r="O25" s="233">
        <v>0</v>
      </c>
      <c r="P25" s="177"/>
      <c r="Q25" s="178"/>
      <c r="R25" s="19"/>
      <c r="S25" s="359"/>
      <c r="T25" s="357"/>
      <c r="U25" s="187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68"/>
      <c r="C26" s="169"/>
      <c r="D26" s="170"/>
      <c r="E26" s="173"/>
      <c r="F26" s="168"/>
      <c r="G26" s="370"/>
      <c r="H26" s="367"/>
      <c r="I26" s="363"/>
      <c r="J26" s="363"/>
      <c r="K26" s="363"/>
      <c r="L26" s="19"/>
      <c r="M26" s="168"/>
      <c r="N26" s="170"/>
      <c r="O26" s="173"/>
      <c r="P26" s="168"/>
      <c r="Q26" s="170"/>
      <c r="R26" s="19"/>
      <c r="S26" s="188"/>
      <c r="T26" s="358"/>
      <c r="U26" s="189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335" t="s">
        <v>152</v>
      </c>
      <c r="C27" s="166"/>
      <c r="D27" s="167"/>
      <c r="E27" s="233">
        <v>1</v>
      </c>
      <c r="F27" s="355" t="s">
        <v>154</v>
      </c>
      <c r="G27" s="167"/>
      <c r="H27" s="1"/>
      <c r="I27" s="1"/>
      <c r="J27" s="1"/>
      <c r="K27" s="1"/>
      <c r="L27" s="1"/>
      <c r="M27" s="1"/>
      <c r="N27" s="1"/>
      <c r="O27" s="1"/>
      <c r="P27" s="49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31.5" customHeight="1">
      <c r="B28" s="168"/>
      <c r="C28" s="169"/>
      <c r="D28" s="170"/>
      <c r="E28" s="173"/>
      <c r="F28" s="168"/>
      <c r="G28" s="170"/>
      <c r="H28" s="121"/>
      <c r="I28" s="121"/>
      <c r="J28" s="121"/>
      <c r="K28" s="121"/>
      <c r="L28" s="121"/>
      <c r="M28" s="19"/>
      <c r="N28" s="121"/>
      <c r="O28" s="121"/>
      <c r="P28" s="12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32" ht="31.5" customHeight="1">
      <c r="B29" s="121"/>
      <c r="C29" s="121"/>
      <c r="D29" s="121"/>
      <c r="E29" s="121"/>
      <c r="F29" s="121"/>
      <c r="G29" s="122"/>
      <c r="H29" s="121"/>
      <c r="I29" s="121"/>
      <c r="J29" s="121"/>
      <c r="K29" s="121"/>
      <c r="L29" s="121"/>
      <c r="M29" s="19"/>
      <c r="N29" s="121"/>
      <c r="O29" s="121"/>
      <c r="P29" s="12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32" ht="31.5" customHeight="1">
      <c r="B30" s="1"/>
      <c r="C30" s="1"/>
      <c r="D30" s="1"/>
      <c r="E30" s="1"/>
      <c r="F30" s="1"/>
      <c r="G30" s="1"/>
      <c r="H30" s="121"/>
      <c r="I30" s="121"/>
      <c r="J30" s="121"/>
      <c r="K30" s="121"/>
      <c r="L30" s="121"/>
      <c r="M30" s="19"/>
      <c r="N30" s="121"/>
      <c r="O30" s="121"/>
      <c r="P30" s="12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32" ht="31.5" customHeight="1">
      <c r="B31" s="1"/>
      <c r="C31" s="1"/>
      <c r="D31" s="1"/>
      <c r="E31" s="1"/>
      <c r="F31" s="1"/>
      <c r="G31" s="1"/>
      <c r="H31" s="121"/>
      <c r="I31" s="121"/>
      <c r="J31" s="121"/>
      <c r="K31" s="121"/>
      <c r="L31" s="121"/>
      <c r="M31" s="19"/>
      <c r="N31" s="121"/>
      <c r="O31" s="121"/>
      <c r="P31" s="12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32" ht="31.5" customHeight="1">
      <c r="B32" s="1"/>
      <c r="D32" s="1"/>
      <c r="E32" s="1"/>
      <c r="F32" s="1"/>
      <c r="G32" s="1"/>
      <c r="H32" s="121"/>
      <c r="I32" s="121"/>
      <c r="J32" s="121"/>
      <c r="K32" s="121"/>
      <c r="L32" s="121"/>
      <c r="M32" s="19"/>
      <c r="N32" s="121"/>
      <c r="O32" s="121"/>
      <c r="P32" s="12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"/>
      <c r="C33" s="1"/>
      <c r="D33" s="1"/>
      <c r="E33" s="1"/>
      <c r="F33" s="1"/>
      <c r="G33" s="1"/>
      <c r="H33" s="121"/>
      <c r="I33" s="121"/>
      <c r="J33" s="121"/>
      <c r="K33" s="121"/>
      <c r="L33" s="121"/>
      <c r="M33" s="19"/>
      <c r="N33" s="121"/>
      <c r="O33" s="121"/>
      <c r="P33" s="12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"/>
      <c r="C34" s="1"/>
      <c r="D34" s="1"/>
      <c r="E34" s="1"/>
      <c r="F34" s="1"/>
      <c r="G34" s="1"/>
      <c r="H34" s="121"/>
      <c r="I34" s="121"/>
      <c r="J34" s="121"/>
      <c r="K34" s="121"/>
      <c r="L34" s="121"/>
      <c r="M34" s="19"/>
      <c r="N34" s="121"/>
      <c r="O34" s="121"/>
      <c r="P34" s="1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"/>
      <c r="C35" s="1"/>
      <c r="D35" s="1"/>
      <c r="E35" s="1"/>
      <c r="F35" s="1"/>
      <c r="G35" s="1"/>
      <c r="H35" s="121"/>
      <c r="I35" s="121"/>
      <c r="J35" s="121"/>
      <c r="K35" s="121"/>
      <c r="L35" s="121"/>
      <c r="M35" s="19"/>
      <c r="N35" s="121"/>
      <c r="O35" s="121"/>
      <c r="P35" s="12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"/>
      <c r="C36" s="1"/>
      <c r="D36" s="1"/>
      <c r="E36" s="1"/>
      <c r="F36" s="1"/>
      <c r="G36" s="1"/>
      <c r="H36" s="121"/>
      <c r="I36" s="121"/>
      <c r="J36" s="121"/>
      <c r="K36" s="121"/>
      <c r="L36" s="121"/>
      <c r="M36" s="19"/>
      <c r="N36" s="121"/>
      <c r="O36" s="121"/>
      <c r="P36" s="12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"/>
      <c r="C37" s="1"/>
      <c r="D37" s="1"/>
      <c r="E37" s="1"/>
      <c r="F37" s="1"/>
      <c r="G37" s="1"/>
      <c r="H37" s="121"/>
      <c r="I37" s="121"/>
      <c r="J37" s="121"/>
      <c r="K37" s="121"/>
      <c r="L37" s="121"/>
      <c r="M37" s="19"/>
      <c r="N37" s="121"/>
      <c r="O37" s="121"/>
      <c r="P37" s="12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"/>
      <c r="C38" s="1"/>
      <c r="D38" s="1"/>
      <c r="E38" s="1"/>
      <c r="F38" s="1"/>
      <c r="G38" s="1"/>
      <c r="H38" s="121"/>
      <c r="I38" s="121"/>
      <c r="J38" s="121"/>
      <c r="K38" s="121"/>
      <c r="L38" s="121"/>
      <c r="M38" s="19"/>
      <c r="N38" s="121"/>
      <c r="O38" s="121"/>
      <c r="P38" s="12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"/>
      <c r="C39" s="1"/>
      <c r="D39" s="1"/>
      <c r="E39" s="1"/>
      <c r="F39" s="1"/>
      <c r="G39" s="1"/>
      <c r="H39" s="121"/>
      <c r="I39" s="121"/>
      <c r="J39" s="121"/>
      <c r="K39" s="121"/>
      <c r="L39" s="121"/>
      <c r="M39" s="19"/>
      <c r="N39" s="121"/>
      <c r="O39" s="121"/>
      <c r="P39" s="12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"/>
      <c r="C40" s="1"/>
      <c r="D40" s="1"/>
      <c r="E40" s="1"/>
      <c r="F40" s="1"/>
      <c r="G40" s="1"/>
      <c r="H40" s="121"/>
      <c r="I40" s="121"/>
      <c r="J40" s="121"/>
      <c r="K40" s="121"/>
      <c r="L40" s="121"/>
      <c r="M40" s="19"/>
      <c r="N40" s="121"/>
      <c r="O40" s="121"/>
      <c r="P40" s="12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"/>
      <c r="C41" s="1"/>
      <c r="D41" s="1"/>
      <c r="E41" s="1"/>
      <c r="F41" s="1"/>
      <c r="G41" s="1"/>
      <c r="H41" s="121"/>
      <c r="I41" s="121"/>
      <c r="J41" s="121"/>
      <c r="K41" s="121"/>
      <c r="L41" s="121"/>
      <c r="M41" s="19"/>
      <c r="N41" s="121"/>
      <c r="O41" s="121"/>
      <c r="P41" s="12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"/>
      <c r="C42" s="1"/>
      <c r="D42" s="1"/>
      <c r="E42" s="1"/>
      <c r="F42" s="1"/>
      <c r="G42" s="1"/>
      <c r="H42" s="121"/>
      <c r="I42" s="121"/>
      <c r="J42" s="121"/>
      <c r="K42" s="121"/>
      <c r="L42" s="121"/>
      <c r="M42" s="19"/>
      <c r="N42" s="121"/>
      <c r="O42" s="121"/>
      <c r="P42" s="12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"/>
      <c r="C43" s="1"/>
      <c r="D43" s="1"/>
      <c r="E43" s="1"/>
      <c r="F43" s="1"/>
      <c r="G43" s="1"/>
      <c r="H43" s="121"/>
      <c r="I43" s="121"/>
      <c r="J43" s="121"/>
      <c r="K43" s="121"/>
      <c r="L43" s="121"/>
      <c r="M43" s="19"/>
      <c r="N43" s="121"/>
      <c r="O43" s="121"/>
      <c r="P43" s="12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"/>
      <c r="C44" s="1"/>
      <c r="D44" s="1"/>
      <c r="E44" s="1"/>
      <c r="F44" s="1"/>
      <c r="G44" s="1"/>
      <c r="H44" s="121"/>
      <c r="I44" s="121"/>
      <c r="J44" s="121"/>
      <c r="K44" s="121"/>
      <c r="L44" s="121"/>
      <c r="M44" s="19"/>
      <c r="N44" s="121"/>
      <c r="O44" s="121"/>
      <c r="P44" s="12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"/>
      <c r="C45" s="1"/>
      <c r="D45" s="1"/>
      <c r="E45" s="1"/>
      <c r="F45" s="1"/>
      <c r="G45" s="1"/>
      <c r="H45" s="121"/>
      <c r="I45" s="121"/>
      <c r="J45" s="121"/>
      <c r="K45" s="121"/>
      <c r="L45" s="121"/>
      <c r="M45" s="19"/>
      <c r="N45" s="121"/>
      <c r="O45" s="121"/>
      <c r="P45" s="12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"/>
      <c r="C46" s="1"/>
      <c r="D46" s="1"/>
      <c r="E46" s="1"/>
      <c r="F46" s="1"/>
      <c r="G46" s="1"/>
      <c r="H46" s="121"/>
      <c r="I46" s="121"/>
      <c r="J46" s="121"/>
      <c r="K46" s="121"/>
      <c r="L46" s="121"/>
      <c r="M46" s="19"/>
      <c r="N46" s="121"/>
      <c r="O46" s="121"/>
      <c r="P46" s="12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"/>
      <c r="C47" s="1"/>
      <c r="D47" s="1"/>
      <c r="E47" s="1"/>
      <c r="F47" s="1"/>
      <c r="G47" s="1"/>
      <c r="H47" s="121"/>
      <c r="I47" s="121"/>
      <c r="J47" s="121"/>
      <c r="K47" s="121"/>
      <c r="L47" s="121"/>
      <c r="M47" s="19"/>
      <c r="N47" s="121"/>
      <c r="O47" s="121"/>
      <c r="P47" s="12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"/>
      <c r="C48" s="1"/>
      <c r="D48" s="1"/>
      <c r="E48" s="1"/>
      <c r="F48" s="1"/>
      <c r="G48" s="1"/>
      <c r="H48" s="121"/>
      <c r="I48" s="121"/>
      <c r="J48" s="121"/>
      <c r="K48" s="121"/>
      <c r="L48" s="121"/>
      <c r="M48" s="19"/>
      <c r="N48" s="121"/>
      <c r="O48" s="121"/>
      <c r="P48" s="12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"/>
      <c r="C49" s="1"/>
      <c r="D49" s="1"/>
      <c r="E49" s="1"/>
      <c r="F49" s="1"/>
      <c r="G49" s="1"/>
      <c r="H49" s="121"/>
      <c r="I49" s="121"/>
      <c r="J49" s="121"/>
      <c r="K49" s="121"/>
      <c r="L49" s="121"/>
      <c r="M49" s="19"/>
      <c r="N49" s="121"/>
      <c r="O49" s="121"/>
      <c r="P49" s="12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"/>
      <c r="C50" s="1"/>
      <c r="D50" s="1"/>
      <c r="E50" s="1"/>
      <c r="F50" s="1"/>
      <c r="G50" s="1"/>
      <c r="H50" s="121"/>
      <c r="I50" s="121"/>
      <c r="J50" s="121"/>
      <c r="K50" s="121"/>
      <c r="L50" s="121"/>
      <c r="M50" s="19"/>
      <c r="N50" s="121"/>
      <c r="O50" s="121"/>
      <c r="P50" s="12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1"/>
      <c r="E51" s="1"/>
      <c r="F51" s="1"/>
      <c r="G51" s="1"/>
      <c r="H51" s="121"/>
      <c r="I51" s="121"/>
      <c r="J51" s="121"/>
      <c r="K51" s="121"/>
      <c r="L51" s="121"/>
      <c r="M51" s="19"/>
      <c r="N51" s="121"/>
      <c r="O51" s="121"/>
      <c r="P51" s="12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1"/>
      <c r="E52" s="1"/>
      <c r="F52" s="1"/>
      <c r="G52" s="1"/>
      <c r="H52" s="121"/>
      <c r="I52" s="121"/>
      <c r="J52" s="121"/>
      <c r="K52" s="121"/>
      <c r="L52" s="121"/>
      <c r="M52" s="19"/>
      <c r="N52" s="121"/>
      <c r="O52" s="121"/>
      <c r="P52" s="12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1"/>
      <c r="E53" s="1"/>
      <c r="F53" s="1"/>
      <c r="G53" s="1"/>
      <c r="H53" s="121"/>
      <c r="I53" s="121"/>
      <c r="J53" s="121"/>
      <c r="K53" s="121"/>
      <c r="L53" s="121"/>
      <c r="M53" s="19"/>
      <c r="N53" s="121"/>
      <c r="O53" s="121"/>
      <c r="P53" s="12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1"/>
      <c r="E54" s="1"/>
      <c r="F54" s="1"/>
      <c r="G54" s="1"/>
      <c r="H54" s="121"/>
      <c r="I54" s="121"/>
      <c r="J54" s="121"/>
      <c r="K54" s="121"/>
      <c r="L54" s="121"/>
      <c r="M54" s="19"/>
      <c r="N54" s="121"/>
      <c r="O54" s="121"/>
      <c r="P54" s="12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1"/>
      <c r="E55" s="1"/>
      <c r="F55" s="1"/>
      <c r="G55" s="1"/>
      <c r="H55" s="121"/>
      <c r="I55" s="121"/>
      <c r="J55" s="121"/>
      <c r="K55" s="121"/>
      <c r="L55" s="121"/>
      <c r="M55" s="19"/>
      <c r="N55" s="121"/>
      <c r="O55" s="121"/>
      <c r="P55" s="12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1"/>
      <c r="E56" s="1"/>
      <c r="F56" s="1"/>
      <c r="G56" s="1"/>
      <c r="H56" s="121"/>
      <c r="I56" s="121"/>
      <c r="J56" s="121"/>
      <c r="K56" s="121"/>
      <c r="L56" s="121"/>
      <c r="M56" s="19"/>
      <c r="N56" s="121"/>
      <c r="O56" s="121"/>
      <c r="P56" s="12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1"/>
      <c r="E57" s="1"/>
      <c r="F57" s="1"/>
      <c r="G57" s="1"/>
      <c r="H57" s="121"/>
      <c r="I57" s="121"/>
      <c r="J57" s="121"/>
      <c r="K57" s="121"/>
      <c r="L57" s="121"/>
      <c r="M57" s="19"/>
      <c r="N57" s="121"/>
      <c r="O57" s="121"/>
      <c r="P57" s="12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1"/>
      <c r="E58" s="1"/>
      <c r="F58" s="1"/>
      <c r="G58" s="1"/>
      <c r="H58" s="121"/>
      <c r="I58" s="121"/>
      <c r="J58" s="121"/>
      <c r="K58" s="121"/>
      <c r="L58" s="121"/>
      <c r="M58" s="19"/>
      <c r="N58" s="121"/>
      <c r="O58" s="121"/>
      <c r="P58" s="12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1"/>
      <c r="E59" s="1"/>
      <c r="F59" s="1"/>
      <c r="G59" s="1"/>
      <c r="H59" s="121"/>
      <c r="I59" s="121"/>
      <c r="J59" s="121"/>
      <c r="K59" s="121"/>
      <c r="L59" s="121"/>
      <c r="M59" s="19"/>
      <c r="N59" s="121"/>
      <c r="O59" s="121"/>
      <c r="P59" s="12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1"/>
      <c r="E60" s="1"/>
      <c r="F60" s="1"/>
      <c r="G60" s="1"/>
      <c r="H60" s="121"/>
      <c r="I60" s="121"/>
      <c r="J60" s="121"/>
      <c r="K60" s="121"/>
      <c r="L60" s="121"/>
      <c r="M60" s="19"/>
      <c r="N60" s="121"/>
      <c r="O60" s="121"/>
      <c r="P60" s="12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1"/>
      <c r="E61" s="1"/>
      <c r="F61" s="1"/>
      <c r="G61" s="1"/>
      <c r="H61" s="121"/>
      <c r="I61" s="121"/>
      <c r="J61" s="121"/>
      <c r="K61" s="121"/>
      <c r="L61" s="121"/>
      <c r="M61" s="19"/>
      <c r="N61" s="121"/>
      <c r="O61" s="121"/>
      <c r="P61" s="12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1"/>
      <c r="E62" s="1"/>
      <c r="F62" s="1"/>
      <c r="G62" s="1"/>
      <c r="H62" s="121"/>
      <c r="I62" s="121"/>
      <c r="J62" s="121"/>
      <c r="K62" s="121"/>
      <c r="L62" s="121"/>
      <c r="M62" s="19"/>
      <c r="N62" s="121"/>
      <c r="O62" s="121"/>
      <c r="P62" s="12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1"/>
      <c r="E63" s="1"/>
      <c r="F63" s="1"/>
      <c r="G63" s="1"/>
      <c r="H63" s="121"/>
      <c r="I63" s="121"/>
      <c r="J63" s="121"/>
      <c r="K63" s="121"/>
      <c r="L63" s="121"/>
      <c r="M63" s="19"/>
      <c r="N63" s="121"/>
      <c r="O63" s="121"/>
      <c r="P63" s="12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1"/>
      <c r="E64" s="1"/>
      <c r="F64" s="1"/>
      <c r="G64" s="1"/>
      <c r="H64" s="121"/>
      <c r="I64" s="121"/>
      <c r="J64" s="121"/>
      <c r="K64" s="121"/>
      <c r="L64" s="121"/>
      <c r="M64" s="19"/>
      <c r="N64" s="121"/>
      <c r="O64" s="121"/>
      <c r="P64" s="12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1"/>
      <c r="E65" s="1"/>
      <c r="F65" s="1"/>
      <c r="G65" s="1"/>
      <c r="H65" s="121"/>
      <c r="I65" s="121"/>
      <c r="J65" s="121"/>
      <c r="K65" s="121"/>
      <c r="L65" s="121"/>
      <c r="M65" s="19"/>
      <c r="N65" s="121"/>
      <c r="O65" s="121"/>
      <c r="P65" s="12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1"/>
      <c r="E66" s="1"/>
      <c r="F66" s="1"/>
      <c r="G66" s="1"/>
      <c r="H66" s="121"/>
      <c r="I66" s="121"/>
      <c r="J66" s="121"/>
      <c r="K66" s="121"/>
      <c r="L66" s="121"/>
      <c r="M66" s="19"/>
      <c r="N66" s="121"/>
      <c r="O66" s="121"/>
      <c r="P66" s="12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1"/>
      <c r="E67" s="1"/>
      <c r="F67" s="1"/>
      <c r="G67" s="1"/>
      <c r="H67" s="121"/>
      <c r="I67" s="121"/>
      <c r="J67" s="121"/>
      <c r="K67" s="121"/>
      <c r="L67" s="121"/>
      <c r="M67" s="19"/>
      <c r="N67" s="121"/>
      <c r="O67" s="121"/>
      <c r="P67" s="12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1"/>
      <c r="E68" s="1"/>
      <c r="F68" s="1"/>
      <c r="G68" s="1"/>
      <c r="H68" s="121"/>
      <c r="I68" s="121"/>
      <c r="J68" s="121"/>
      <c r="K68" s="121"/>
      <c r="L68" s="121"/>
      <c r="M68" s="19"/>
      <c r="N68" s="121"/>
      <c r="O68" s="121"/>
      <c r="P68" s="12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1"/>
      <c r="E69" s="1"/>
      <c r="F69" s="1"/>
      <c r="G69" s="1"/>
      <c r="H69" s="121"/>
      <c r="I69" s="121"/>
      <c r="J69" s="121"/>
      <c r="K69" s="121"/>
      <c r="L69" s="121"/>
      <c r="M69" s="19"/>
      <c r="N69" s="121"/>
      <c r="O69" s="121"/>
      <c r="P69" s="12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1"/>
      <c r="E70" s="1"/>
      <c r="F70" s="1"/>
      <c r="G70" s="1"/>
      <c r="H70" s="121"/>
      <c r="I70" s="121"/>
      <c r="J70" s="121"/>
      <c r="K70" s="121"/>
      <c r="L70" s="121"/>
      <c r="M70" s="19"/>
      <c r="N70" s="121"/>
      <c r="O70" s="121"/>
      <c r="P70" s="12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1"/>
      <c r="E71" s="1"/>
      <c r="F71" s="1"/>
      <c r="G71" s="1"/>
      <c r="H71" s="121"/>
      <c r="I71" s="121"/>
      <c r="J71" s="121"/>
      <c r="K71" s="121"/>
      <c r="L71" s="121"/>
      <c r="M71" s="19"/>
      <c r="N71" s="121"/>
      <c r="O71" s="121"/>
      <c r="P71" s="12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1"/>
      <c r="E72" s="1"/>
      <c r="F72" s="1"/>
      <c r="G72" s="1"/>
      <c r="H72" s="121"/>
      <c r="I72" s="121"/>
      <c r="J72" s="121"/>
      <c r="K72" s="121"/>
      <c r="L72" s="121"/>
      <c r="M72" s="19"/>
      <c r="N72" s="121"/>
      <c r="O72" s="121"/>
      <c r="P72" s="12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1"/>
      <c r="E73" s="1"/>
      <c r="F73" s="1"/>
      <c r="G73" s="1"/>
      <c r="H73" s="121"/>
      <c r="I73" s="121"/>
      <c r="J73" s="121"/>
      <c r="K73" s="121"/>
      <c r="L73" s="121"/>
      <c r="M73" s="19"/>
      <c r="N73" s="121"/>
      <c r="O73" s="121"/>
      <c r="P73" s="12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1"/>
      <c r="E74" s="1"/>
      <c r="F74" s="1"/>
      <c r="G74" s="1"/>
      <c r="H74" s="121"/>
      <c r="I74" s="121"/>
      <c r="J74" s="121"/>
      <c r="K74" s="121"/>
      <c r="L74" s="121"/>
      <c r="M74" s="19"/>
      <c r="N74" s="121"/>
      <c r="O74" s="121"/>
      <c r="P74" s="12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1"/>
      <c r="E75" s="1"/>
      <c r="F75" s="1"/>
      <c r="G75" s="1"/>
      <c r="H75" s="121"/>
      <c r="I75" s="121"/>
      <c r="J75" s="121"/>
      <c r="K75" s="121"/>
      <c r="L75" s="121"/>
      <c r="M75" s="19"/>
      <c r="N75" s="121"/>
      <c r="O75" s="121"/>
      <c r="P75" s="12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1"/>
      <c r="E76" s="1"/>
      <c r="F76" s="1"/>
      <c r="G76" s="1"/>
      <c r="H76" s="121"/>
      <c r="I76" s="121"/>
      <c r="J76" s="121"/>
      <c r="K76" s="121"/>
      <c r="L76" s="121"/>
      <c r="M76" s="19"/>
      <c r="N76" s="121"/>
      <c r="O76" s="121"/>
      <c r="P76" s="12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1"/>
      <c r="E77" s="1"/>
      <c r="F77" s="1"/>
      <c r="G77" s="1"/>
      <c r="H77" s="121"/>
      <c r="I77" s="121"/>
      <c r="J77" s="121"/>
      <c r="K77" s="121"/>
      <c r="L77" s="121"/>
      <c r="M77" s="19"/>
      <c r="N77" s="121"/>
      <c r="O77" s="121"/>
      <c r="P77" s="12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1"/>
      <c r="E78" s="1"/>
      <c r="F78" s="1"/>
      <c r="G78" s="1"/>
      <c r="H78" s="121"/>
      <c r="I78" s="121"/>
      <c r="J78" s="121"/>
      <c r="K78" s="121"/>
      <c r="L78" s="121"/>
      <c r="M78" s="19"/>
      <c r="N78" s="121"/>
      <c r="O78" s="121"/>
      <c r="P78" s="12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1"/>
      <c r="E79" s="1"/>
      <c r="F79" s="1"/>
      <c r="G79" s="1"/>
      <c r="H79" s="121"/>
      <c r="I79" s="121"/>
      <c r="J79" s="121"/>
      <c r="K79" s="121"/>
      <c r="L79" s="121"/>
      <c r="M79" s="19"/>
      <c r="N79" s="121"/>
      <c r="O79" s="121"/>
      <c r="P79" s="12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1"/>
      <c r="E80" s="1"/>
      <c r="F80" s="1"/>
      <c r="G80" s="1"/>
      <c r="H80" s="121"/>
      <c r="I80" s="121"/>
      <c r="J80" s="121"/>
      <c r="K80" s="121"/>
      <c r="L80" s="121"/>
      <c r="M80" s="19"/>
      <c r="N80" s="121"/>
      <c r="O80" s="121"/>
      <c r="P80" s="12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32" ht="31.5" customHeight="1">
      <c r="B81" s="1"/>
      <c r="C81" s="1"/>
      <c r="D81" s="1"/>
      <c r="E81" s="1"/>
      <c r="F81" s="1"/>
      <c r="G81" s="1"/>
      <c r="H81" s="121"/>
      <c r="I81" s="121"/>
      <c r="J81" s="121"/>
      <c r="K81" s="121"/>
      <c r="L81" s="121"/>
      <c r="M81" s="19"/>
      <c r="N81" s="121"/>
      <c r="O81" s="121"/>
      <c r="P81" s="12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32" ht="31.5" customHeight="1">
      <c r="B82" s="1"/>
      <c r="C82" s="1"/>
      <c r="D82" s="1"/>
      <c r="E82" s="1"/>
      <c r="F82" s="1"/>
      <c r="G82" s="1"/>
      <c r="H82" s="121"/>
      <c r="I82" s="121"/>
      <c r="J82" s="121"/>
      <c r="K82" s="121"/>
      <c r="L82" s="121"/>
      <c r="M82" s="19"/>
      <c r="N82" s="121"/>
      <c r="O82" s="121"/>
      <c r="P82" s="12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32" ht="31.5" customHeight="1">
      <c r="B83" s="1"/>
      <c r="C83" s="1"/>
      <c r="D83" s="1"/>
      <c r="E83" s="1"/>
      <c r="F83" s="1"/>
      <c r="G83" s="1"/>
      <c r="H83" s="121"/>
      <c r="I83" s="121"/>
      <c r="J83" s="121"/>
      <c r="K83" s="121"/>
      <c r="L83" s="121"/>
      <c r="M83" s="19"/>
      <c r="N83" s="121"/>
      <c r="O83" s="121"/>
      <c r="P83" s="12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32" ht="31.5" customHeight="1">
      <c r="B84" s="1"/>
      <c r="C84" s="1"/>
      <c r="D84" s="1"/>
      <c r="E84" s="1"/>
      <c r="F84" s="1"/>
      <c r="G84" s="1"/>
      <c r="H84" s="121"/>
      <c r="I84" s="121"/>
      <c r="J84" s="121"/>
      <c r="K84" s="121"/>
      <c r="L84" s="121"/>
      <c r="M84" s="19"/>
      <c r="N84" s="121"/>
      <c r="O84" s="121"/>
      <c r="P84" s="12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32" ht="31.5" customHeight="1">
      <c r="B85" s="1"/>
      <c r="C85" s="1"/>
      <c r="D85" s="1"/>
      <c r="E85" s="1"/>
      <c r="F85" s="1"/>
      <c r="G85" s="1"/>
      <c r="H85" s="121"/>
      <c r="I85" s="121"/>
      <c r="J85" s="121"/>
      <c r="K85" s="121"/>
      <c r="L85" s="121"/>
      <c r="M85" s="19"/>
      <c r="N85" s="121"/>
      <c r="O85" s="121"/>
      <c r="P85" s="12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32" ht="31.5" customHeight="1">
      <c r="B86" s="1"/>
      <c r="C86" s="1"/>
      <c r="D86" s="1"/>
      <c r="E86" s="1"/>
      <c r="F86" s="1"/>
      <c r="G86" s="1"/>
      <c r="H86" s="121"/>
      <c r="I86" s="121"/>
      <c r="J86" s="121"/>
      <c r="K86" s="121"/>
      <c r="L86" s="121"/>
      <c r="M86" s="19"/>
      <c r="N86" s="121"/>
      <c r="O86" s="121"/>
      <c r="P86" s="12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32" ht="31.5" customHeight="1">
      <c r="B87" s="1"/>
      <c r="C87" s="1"/>
      <c r="D87" s="1"/>
      <c r="E87" s="1"/>
      <c r="F87" s="1"/>
      <c r="G87" s="1"/>
      <c r="H87" s="121"/>
      <c r="I87" s="121"/>
      <c r="J87" s="121"/>
      <c r="K87" s="121"/>
      <c r="L87" s="121"/>
      <c r="M87" s="19"/>
      <c r="N87" s="121"/>
      <c r="O87" s="121"/>
      <c r="P87" s="12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32" ht="31.5" customHeight="1">
      <c r="B88" s="1"/>
      <c r="C88" s="1"/>
      <c r="D88" s="1"/>
      <c r="E88" s="1"/>
      <c r="F88" s="1"/>
      <c r="G88" s="1"/>
      <c r="H88" s="121"/>
      <c r="I88" s="121"/>
      <c r="J88" s="121"/>
      <c r="K88" s="121"/>
      <c r="L88" s="121"/>
      <c r="M88" s="19"/>
      <c r="N88" s="121"/>
      <c r="O88" s="121"/>
      <c r="P88" s="12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32" ht="31.5" customHeight="1">
      <c r="B89" s="1"/>
      <c r="C89" s="1"/>
      <c r="D89" s="1"/>
      <c r="E89" s="1"/>
      <c r="F89" s="1"/>
      <c r="G89" s="1"/>
      <c r="H89" s="121"/>
      <c r="I89" s="121"/>
      <c r="J89" s="121"/>
      <c r="K89" s="121"/>
      <c r="L89" s="121"/>
      <c r="M89" s="19"/>
      <c r="N89" s="121"/>
      <c r="O89" s="121"/>
      <c r="P89" s="12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32" ht="31.5" customHeight="1">
      <c r="B90" s="1"/>
      <c r="C90" s="1"/>
      <c r="D90" s="1"/>
      <c r="E90" s="1"/>
      <c r="F90" s="1"/>
      <c r="G90" s="1"/>
      <c r="H90" s="121"/>
      <c r="I90" s="121"/>
      <c r="J90" s="121"/>
      <c r="K90" s="121"/>
      <c r="L90" s="121"/>
      <c r="M90" s="19"/>
      <c r="N90" s="121"/>
      <c r="O90" s="121"/>
      <c r="P90" s="12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32" ht="31.5" customHeight="1">
      <c r="B91" s="1"/>
      <c r="C91" s="1"/>
      <c r="D91" s="1"/>
      <c r="E91" s="1"/>
      <c r="F91" s="1"/>
      <c r="G91" s="1"/>
      <c r="H91" s="121"/>
      <c r="I91" s="121"/>
      <c r="J91" s="121"/>
      <c r="K91" s="121"/>
      <c r="L91" s="121"/>
      <c r="M91" s="19"/>
      <c r="N91" s="121"/>
      <c r="O91" s="121"/>
      <c r="P91" s="12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32" ht="31.5" customHeight="1">
      <c r="B92" s="1"/>
      <c r="C92" s="1"/>
      <c r="D92" s="1"/>
      <c r="E92" s="1"/>
      <c r="F92" s="1"/>
      <c r="G92" s="1"/>
      <c r="H92" s="121"/>
      <c r="I92" s="121"/>
      <c r="J92" s="121"/>
      <c r="K92" s="121"/>
      <c r="L92" s="121"/>
      <c r="M92" s="19"/>
      <c r="N92" s="121"/>
      <c r="O92" s="121"/>
      <c r="P92" s="12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32" ht="31.5" customHeight="1">
      <c r="B93" s="1"/>
      <c r="C93" s="1"/>
      <c r="D93" s="1"/>
      <c r="E93" s="1"/>
      <c r="F93" s="1"/>
      <c r="G93" s="1"/>
      <c r="H93" s="121"/>
      <c r="I93" s="121"/>
      <c r="J93" s="121"/>
      <c r="K93" s="121"/>
      <c r="L93" s="121"/>
      <c r="M93" s="19"/>
      <c r="N93" s="121"/>
      <c r="O93" s="121"/>
      <c r="P93" s="12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32" ht="31.5" customHeight="1">
      <c r="B94" s="1"/>
      <c r="C94" s="1"/>
      <c r="D94" s="1"/>
      <c r="E94" s="1"/>
      <c r="F94" s="1"/>
      <c r="G94" s="1"/>
      <c r="H94" s="121"/>
      <c r="I94" s="121"/>
      <c r="J94" s="121"/>
      <c r="K94" s="121"/>
      <c r="L94" s="121"/>
      <c r="M94" s="19"/>
      <c r="N94" s="121"/>
      <c r="O94" s="121"/>
      <c r="P94" s="12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32" ht="31.5" customHeight="1">
      <c r="B95" s="1"/>
      <c r="C95" s="1"/>
      <c r="D95" s="1"/>
      <c r="E95" s="1"/>
      <c r="F95" s="1"/>
      <c r="G95" s="1"/>
      <c r="H95" s="121"/>
      <c r="I95" s="121"/>
      <c r="J95" s="121"/>
      <c r="K95" s="121"/>
      <c r="L95" s="121"/>
      <c r="M95" s="19"/>
      <c r="N95" s="121"/>
      <c r="O95" s="121"/>
      <c r="P95" s="12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0">
    <mergeCell ref="B3:K3"/>
    <mergeCell ref="L3:U3"/>
    <mergeCell ref="B6:C6"/>
    <mergeCell ref="D6:E6"/>
    <mergeCell ref="M6:N6"/>
    <mergeCell ref="O6:P6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8:K8"/>
    <mergeCell ref="M8:Q8"/>
    <mergeCell ref="S8:U8"/>
    <mergeCell ref="B10:B11"/>
    <mergeCell ref="C10:C11"/>
    <mergeCell ref="D10:D11"/>
    <mergeCell ref="E10:E11"/>
    <mergeCell ref="U10:U11"/>
    <mergeCell ref="O10:O11"/>
    <mergeCell ref="P10:P11"/>
    <mergeCell ref="F10:F11"/>
    <mergeCell ref="G10:G11"/>
    <mergeCell ref="M16:N16"/>
    <mergeCell ref="P16:Q16"/>
    <mergeCell ref="S16:U16"/>
    <mergeCell ref="F12:F13"/>
    <mergeCell ref="G12:G13"/>
    <mergeCell ref="B14:J14"/>
    <mergeCell ref="B16:D16"/>
    <mergeCell ref="F16:G16"/>
    <mergeCell ref="S12:T13"/>
    <mergeCell ref="U12:U13"/>
    <mergeCell ref="S14:T14"/>
    <mergeCell ref="M14:P14"/>
    <mergeCell ref="O12:O13"/>
    <mergeCell ref="P12:P13"/>
    <mergeCell ref="H16:K16"/>
    <mergeCell ref="B12:B13"/>
    <mergeCell ref="C12:C13"/>
    <mergeCell ref="D12:D13"/>
    <mergeCell ref="E12:E13"/>
    <mergeCell ref="B17:D18"/>
    <mergeCell ref="B19:D20"/>
    <mergeCell ref="E17:E18"/>
    <mergeCell ref="B21:D22"/>
    <mergeCell ref="B23:D24"/>
    <mergeCell ref="E25:E26"/>
    <mergeCell ref="E19:E20"/>
    <mergeCell ref="E21:E22"/>
    <mergeCell ref="F17:G18"/>
    <mergeCell ref="H17:K20"/>
    <mergeCell ref="M17:N18"/>
    <mergeCell ref="H21:K26"/>
    <mergeCell ref="E23:E24"/>
    <mergeCell ref="F23:G24"/>
    <mergeCell ref="F25:G26"/>
    <mergeCell ref="F19:G20"/>
    <mergeCell ref="F21:G22"/>
    <mergeCell ref="M19:N20"/>
    <mergeCell ref="M21:N22"/>
    <mergeCell ref="M23:N24"/>
    <mergeCell ref="O17:O18"/>
    <mergeCell ref="P17:Q20"/>
    <mergeCell ref="S17:U18"/>
    <mergeCell ref="S19:U20"/>
    <mergeCell ref="S21:U22"/>
    <mergeCell ref="O19:O20"/>
    <mergeCell ref="O21:O22"/>
    <mergeCell ref="P21:Q26"/>
    <mergeCell ref="O23:O24"/>
    <mergeCell ref="B27:D28"/>
    <mergeCell ref="E27:E28"/>
    <mergeCell ref="F27:G28"/>
    <mergeCell ref="S23:U24"/>
    <mergeCell ref="S25:U26"/>
    <mergeCell ref="M25:N26"/>
    <mergeCell ref="O25:O26"/>
    <mergeCell ref="B25:D26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0" t="s">
        <v>79</v>
      </c>
      <c r="B1" s="51"/>
      <c r="C1" s="50" t="s">
        <v>80</v>
      </c>
      <c r="D1" s="401"/>
      <c r="E1" s="169"/>
      <c r="F1" s="169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spans="1:26" ht="13.5" customHeight="1">
      <c r="A2" s="50" t="s">
        <v>5</v>
      </c>
      <c r="B2" s="53">
        <f ca="1">TODAY()</f>
        <v>46001</v>
      </c>
      <c r="C2" s="54"/>
      <c r="D2" s="54"/>
      <c r="E2" s="54"/>
      <c r="F2" s="54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ht="13.5" customHeight="1">
      <c r="A3" s="55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spans="1:26" ht="13.5" customHeight="1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 spans="1:26" ht="13.5" customHeight="1">
      <c r="A5" s="56" t="s">
        <v>81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 spans="1:26" ht="13.5" customHeight="1">
      <c r="A6" s="52"/>
      <c r="B6" s="52"/>
      <c r="C6" s="52"/>
      <c r="D6" s="52"/>
      <c r="E6" s="402" t="s">
        <v>82</v>
      </c>
      <c r="F6" s="214"/>
      <c r="G6" s="52" t="s">
        <v>83</v>
      </c>
      <c r="H6" s="57"/>
      <c r="I6" s="57"/>
      <c r="J6" s="57"/>
      <c r="K6" s="57"/>
      <c r="L6" s="57"/>
      <c r="M6" s="57"/>
      <c r="N6" s="52"/>
      <c r="O6" s="57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spans="1:26" ht="13.5" customHeight="1">
      <c r="A7" s="55" t="s">
        <v>63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3.5" customHeight="1">
      <c r="A8" s="58" t="s">
        <v>84</v>
      </c>
      <c r="B8" s="58"/>
      <c r="C8" s="58"/>
      <c r="D8" s="58"/>
      <c r="E8" s="58"/>
      <c r="F8" s="58"/>
      <c r="G8" s="58"/>
      <c r="H8" s="59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1:26" ht="13.5" customHeight="1">
      <c r="A9" s="60" t="s">
        <v>9</v>
      </c>
      <c r="B9" s="60" t="s">
        <v>85</v>
      </c>
      <c r="C9" s="60" t="s">
        <v>86</v>
      </c>
      <c r="D9" s="61"/>
      <c r="E9" s="62" t="s">
        <v>87</v>
      </c>
      <c r="F9" s="63" t="s">
        <v>88</v>
      </c>
      <c r="G9" s="63" t="s">
        <v>12</v>
      </c>
      <c r="H9" s="60" t="s">
        <v>13</v>
      </c>
      <c r="I9" s="64"/>
      <c r="J9" s="63" t="s">
        <v>89</v>
      </c>
      <c r="K9" s="63" t="s">
        <v>88</v>
      </c>
      <c r="L9" s="63" t="s">
        <v>12</v>
      </c>
      <c r="M9" s="63" t="s">
        <v>13</v>
      </c>
      <c r="N9" s="65"/>
      <c r="O9" s="63" t="s">
        <v>90</v>
      </c>
      <c r="P9" s="63" t="s">
        <v>91</v>
      </c>
      <c r="Q9" s="63" t="s">
        <v>92</v>
      </c>
      <c r="R9" s="65"/>
      <c r="S9" s="65"/>
      <c r="T9" s="65"/>
      <c r="U9" s="65"/>
      <c r="V9" s="65"/>
      <c r="W9" s="65"/>
      <c r="X9" s="65"/>
      <c r="Y9" s="65"/>
      <c r="Z9" s="65"/>
    </row>
    <row r="10" spans="1:26" ht="18" customHeight="1">
      <c r="A10" s="66">
        <v>1</v>
      </c>
      <c r="B10" s="66" t="s">
        <v>93</v>
      </c>
      <c r="C10" s="67">
        <v>950</v>
      </c>
      <c r="D10" s="68"/>
      <c r="E10" s="392">
        <v>70</v>
      </c>
      <c r="F10" s="69">
        <v>5</v>
      </c>
      <c r="G10" s="70">
        <v>0.5</v>
      </c>
      <c r="H10" s="71">
        <v>525</v>
      </c>
      <c r="I10" s="72"/>
      <c r="J10" s="392">
        <v>70</v>
      </c>
      <c r="K10" s="66">
        <v>5</v>
      </c>
      <c r="L10" s="73">
        <v>0.5</v>
      </c>
      <c r="M10" s="71">
        <v>525</v>
      </c>
      <c r="N10" s="52"/>
      <c r="O10" s="392">
        <v>680</v>
      </c>
      <c r="P10" s="70">
        <v>0.5</v>
      </c>
      <c r="Q10" s="74">
        <f>SUM(O10*P10)+O10</f>
        <v>1020</v>
      </c>
      <c r="R10" s="52"/>
      <c r="S10" s="52"/>
      <c r="T10" s="52"/>
      <c r="U10" s="52"/>
      <c r="V10" s="52"/>
      <c r="W10" s="52"/>
      <c r="X10" s="52"/>
      <c r="Y10" s="52"/>
      <c r="Z10" s="52"/>
    </row>
    <row r="11" spans="1:26" ht="18" customHeight="1">
      <c r="A11" s="75">
        <v>2</v>
      </c>
      <c r="B11" s="75" t="s">
        <v>67</v>
      </c>
      <c r="C11" s="76">
        <v>950</v>
      </c>
      <c r="D11" s="68"/>
      <c r="E11" s="173"/>
      <c r="F11" s="75">
        <v>5</v>
      </c>
      <c r="G11" s="77">
        <v>0.25</v>
      </c>
      <c r="H11" s="78">
        <f>(E10*G11)+E10*F11</f>
        <v>367.5</v>
      </c>
      <c r="I11" s="72"/>
      <c r="J11" s="173"/>
      <c r="K11" s="75">
        <v>5</v>
      </c>
      <c r="L11" s="77"/>
      <c r="M11" s="78">
        <f>(J10*L11)+J10*K11</f>
        <v>350</v>
      </c>
      <c r="N11" s="52"/>
      <c r="O11" s="173"/>
      <c r="P11" s="77"/>
      <c r="Q11" s="76">
        <f>SUM(O10*P11)+O10</f>
        <v>680</v>
      </c>
      <c r="R11" s="52"/>
      <c r="S11" s="52"/>
      <c r="T11" s="52"/>
      <c r="U11" s="52"/>
      <c r="V11" s="52"/>
      <c r="W11" s="52"/>
      <c r="X11" s="52"/>
      <c r="Y11" s="52"/>
      <c r="Z11" s="52"/>
    </row>
    <row r="12" spans="1:26" ht="13.5" customHeight="1">
      <c r="A12" s="395" t="s">
        <v>94</v>
      </c>
      <c r="B12" s="175"/>
      <c r="C12" s="79">
        <f>SUM(C9:C11)</f>
        <v>1900</v>
      </c>
      <c r="D12" s="52"/>
      <c r="E12" s="395" t="s">
        <v>95</v>
      </c>
      <c r="F12" s="183"/>
      <c r="G12" s="175"/>
      <c r="H12" s="79">
        <f>SUM(H10:H11)</f>
        <v>892.5</v>
      </c>
      <c r="I12" s="52"/>
      <c r="J12" s="395" t="s">
        <v>96</v>
      </c>
      <c r="K12" s="183"/>
      <c r="L12" s="175"/>
      <c r="M12" s="79">
        <f>SUM(M9:M11)</f>
        <v>875</v>
      </c>
      <c r="N12" s="52"/>
      <c r="O12" s="395" t="s">
        <v>97</v>
      </c>
      <c r="P12" s="175"/>
      <c r="Q12" s="79">
        <f>SUM(Q9:Q11)</f>
        <v>1700</v>
      </c>
      <c r="R12" s="52"/>
      <c r="S12" s="52"/>
      <c r="T12" s="52"/>
      <c r="U12" s="52"/>
      <c r="V12" s="52"/>
      <c r="W12" s="52"/>
      <c r="X12" s="52"/>
      <c r="Y12" s="52"/>
      <c r="Z12" s="52"/>
    </row>
    <row r="13" spans="1:26" ht="13.5" customHeight="1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spans="1:26" ht="13.5" customHeight="1">
      <c r="A14" s="52"/>
      <c r="B14" s="52"/>
      <c r="C14" s="52"/>
      <c r="D14" s="52"/>
      <c r="E14" s="397" t="s">
        <v>98</v>
      </c>
      <c r="F14" s="214"/>
      <c r="G14" s="214"/>
      <c r="H14" s="214"/>
      <c r="I14" s="52"/>
      <c r="J14" s="52"/>
      <c r="K14" s="52"/>
      <c r="L14" s="52"/>
      <c r="M14" s="52"/>
      <c r="N14" s="52"/>
      <c r="O14" s="397" t="s">
        <v>99</v>
      </c>
      <c r="P14" s="214"/>
      <c r="Q14" s="214"/>
      <c r="R14" s="52"/>
      <c r="S14" s="52"/>
      <c r="T14" s="52"/>
      <c r="U14" s="52"/>
      <c r="V14" s="52"/>
      <c r="W14" s="52"/>
      <c r="X14" s="52"/>
      <c r="Y14" s="52"/>
      <c r="Z14" s="52"/>
    </row>
    <row r="15" spans="1:26" ht="13.5" customHeight="1">
      <c r="A15" s="52"/>
      <c r="B15" s="52"/>
      <c r="C15" s="52"/>
      <c r="D15" s="52"/>
      <c r="E15" s="214"/>
      <c r="F15" s="214"/>
      <c r="G15" s="214"/>
      <c r="H15" s="214"/>
      <c r="I15" s="52"/>
      <c r="J15" s="52"/>
      <c r="K15" s="52"/>
      <c r="L15" s="52"/>
      <c r="M15" s="52"/>
      <c r="N15" s="52"/>
      <c r="O15" s="214"/>
      <c r="P15" s="214"/>
      <c r="Q15" s="214"/>
      <c r="R15" s="52"/>
      <c r="S15" s="52"/>
      <c r="T15" s="52"/>
      <c r="U15" s="52"/>
      <c r="V15" s="52"/>
      <c r="W15" s="52"/>
      <c r="X15" s="52"/>
      <c r="Y15" s="52"/>
      <c r="Z15" s="52"/>
    </row>
    <row r="16" spans="1:26" ht="24.75" customHeight="1">
      <c r="A16" s="80"/>
      <c r="B16" s="80"/>
      <c r="C16" s="80"/>
      <c r="D16" s="80"/>
      <c r="E16" s="52"/>
      <c r="F16" s="52"/>
      <c r="G16" s="55"/>
      <c r="H16" s="55"/>
      <c r="I16" s="55"/>
      <c r="J16" s="52"/>
      <c r="K16" s="52"/>
      <c r="L16" s="52"/>
      <c r="M16" s="52"/>
      <c r="N16" s="52"/>
      <c r="O16" s="214"/>
      <c r="P16" s="214"/>
      <c r="Q16" s="214"/>
      <c r="R16" s="52"/>
      <c r="S16" s="52"/>
      <c r="T16" s="52"/>
      <c r="U16" s="52"/>
      <c r="V16" s="52"/>
      <c r="W16" s="52"/>
      <c r="X16" s="52"/>
      <c r="Y16" s="52"/>
      <c r="Z16" s="52"/>
    </row>
    <row r="17" spans="1:26" ht="13.5" customHeight="1">
      <c r="A17" s="80"/>
      <c r="B17" s="80"/>
      <c r="C17" s="80"/>
      <c r="D17" s="80"/>
      <c r="E17" s="52"/>
      <c r="F17" s="52"/>
      <c r="G17" s="55"/>
      <c r="H17" s="55"/>
      <c r="I17" s="55"/>
      <c r="J17" s="52"/>
      <c r="K17" s="52"/>
      <c r="L17" s="52"/>
      <c r="M17" s="52"/>
      <c r="N17" s="52"/>
      <c r="O17" s="81"/>
      <c r="P17" s="81"/>
      <c r="Q17" s="81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3.5" customHeight="1">
      <c r="A18" s="80"/>
      <c r="B18" s="80"/>
      <c r="C18" s="80"/>
      <c r="D18" s="80"/>
      <c r="E18" s="52"/>
      <c r="F18" s="52"/>
      <c r="G18" s="55"/>
      <c r="H18" s="55"/>
      <c r="I18" s="55"/>
      <c r="J18" s="52"/>
      <c r="K18" s="52"/>
      <c r="L18" s="52"/>
      <c r="M18" s="52"/>
      <c r="N18" s="52"/>
      <c r="O18" s="81"/>
      <c r="P18" s="81"/>
      <c r="Q18" s="81"/>
      <c r="R18" s="52"/>
      <c r="S18" s="52"/>
      <c r="T18" s="52"/>
      <c r="U18" s="52"/>
      <c r="V18" s="52"/>
      <c r="W18" s="52"/>
      <c r="X18" s="52"/>
      <c r="Y18" s="52"/>
      <c r="Z18" s="52"/>
    </row>
    <row r="19" spans="1:26" ht="51" customHeight="1">
      <c r="A19" s="398" t="s">
        <v>100</v>
      </c>
      <c r="B19" s="183"/>
      <c r="C19" s="183"/>
      <c r="D19" s="183"/>
      <c r="E19" s="183"/>
      <c r="F19" s="175"/>
      <c r="G19" s="58"/>
      <c r="H19" s="58"/>
      <c r="I19" s="58"/>
      <c r="J19" s="399" t="s">
        <v>101</v>
      </c>
      <c r="K19" s="175"/>
      <c r="L19" s="82" t="s">
        <v>10</v>
      </c>
      <c r="M19" s="82" t="s">
        <v>13</v>
      </c>
      <c r="N19" s="52"/>
      <c r="O19" s="81"/>
      <c r="P19" s="81"/>
      <c r="Q19" s="81"/>
      <c r="R19" s="52"/>
      <c r="S19" s="52"/>
      <c r="T19" s="52"/>
      <c r="U19" s="52"/>
      <c r="V19" s="52"/>
      <c r="W19" s="52"/>
      <c r="X19" s="52"/>
      <c r="Y19" s="52"/>
      <c r="Z19" s="52"/>
    </row>
    <row r="20" spans="1:26" ht="18" customHeight="1">
      <c r="A20" s="83" t="s">
        <v>9</v>
      </c>
      <c r="B20" s="83" t="s">
        <v>85</v>
      </c>
      <c r="C20" s="83" t="s">
        <v>102</v>
      </c>
      <c r="D20" s="83" t="s">
        <v>64</v>
      </c>
      <c r="E20" s="83" t="s">
        <v>13</v>
      </c>
      <c r="F20" s="83" t="s">
        <v>103</v>
      </c>
      <c r="G20" s="84"/>
      <c r="H20" s="84"/>
      <c r="I20" s="85"/>
      <c r="J20" s="400">
        <v>665</v>
      </c>
      <c r="K20" s="167"/>
      <c r="L20" s="69" t="s">
        <v>104</v>
      </c>
      <c r="M20" s="86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spans="1:26" ht="18" customHeight="1">
      <c r="A21" s="69">
        <v>1</v>
      </c>
      <c r="B21" s="69" t="str">
        <f t="shared" ref="B21:B22" si="0">B10</f>
        <v>JEAN</v>
      </c>
      <c r="C21" s="69">
        <v>50</v>
      </c>
      <c r="D21" s="74">
        <v>54</v>
      </c>
      <c r="E21" s="74">
        <f t="shared" ref="E21:E22" si="1">D21*C21</f>
        <v>2700</v>
      </c>
      <c r="F21" s="69"/>
      <c r="G21" s="87"/>
      <c r="H21" s="88"/>
      <c r="I21" s="88"/>
      <c r="J21" s="177"/>
      <c r="K21" s="178"/>
      <c r="L21" s="69" t="s">
        <v>105</v>
      </c>
      <c r="M21" s="86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spans="1:26" ht="18" customHeight="1">
      <c r="A22" s="75">
        <v>2</v>
      </c>
      <c r="B22" s="75" t="str">
        <f t="shared" si="0"/>
        <v>TOP</v>
      </c>
      <c r="C22" s="75">
        <v>50</v>
      </c>
      <c r="D22" s="76">
        <v>27</v>
      </c>
      <c r="E22" s="76">
        <f t="shared" si="1"/>
        <v>1350</v>
      </c>
      <c r="F22" s="75"/>
      <c r="G22" s="87"/>
      <c r="H22" s="88"/>
      <c r="I22" s="88"/>
      <c r="J22" s="168"/>
      <c r="K22" s="170"/>
      <c r="L22" s="69"/>
      <c r="M22" s="69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spans="1:26" ht="13.5" customHeight="1">
      <c r="A23" s="396" t="s">
        <v>106</v>
      </c>
      <c r="B23" s="169"/>
      <c r="C23" s="169"/>
      <c r="D23" s="247"/>
      <c r="E23" s="89">
        <f>SUM(E21:E22)</f>
        <v>4050</v>
      </c>
      <c r="F23" s="90"/>
      <c r="G23" s="91"/>
      <c r="H23" s="92"/>
      <c r="I23" s="92"/>
      <c r="J23" s="395" t="s">
        <v>107</v>
      </c>
      <c r="K23" s="183"/>
      <c r="L23" s="175"/>
      <c r="M23" s="93">
        <f>SUM(M20:M22)</f>
        <v>0</v>
      </c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spans="1:26" ht="13.5" customHeight="1">
      <c r="A24" s="52"/>
      <c r="B24" s="52"/>
      <c r="C24" s="52"/>
      <c r="D24" s="52"/>
      <c r="E24" s="94"/>
      <c r="F24" s="92"/>
      <c r="G24" s="92"/>
      <c r="H24" s="95"/>
      <c r="I24" s="88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13.5" customHeight="1">
      <c r="A25" s="52"/>
      <c r="B25" s="52"/>
      <c r="C25" s="52"/>
      <c r="D25" s="52"/>
      <c r="E25" s="52"/>
      <c r="F25" s="52"/>
      <c r="G25" s="95"/>
      <c r="H25" s="95"/>
      <c r="I25" s="95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spans="1:26" ht="30" customHeight="1">
      <c r="A26" s="393" t="s">
        <v>108</v>
      </c>
      <c r="B26" s="183"/>
      <c r="C26" s="175"/>
      <c r="D26" s="52"/>
      <c r="E26" s="52"/>
      <c r="F26" s="52"/>
      <c r="G26" s="95"/>
      <c r="H26" s="95"/>
      <c r="I26" s="95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spans="1:26" ht="13.5" customHeight="1">
      <c r="A27" s="394" t="s">
        <v>81</v>
      </c>
      <c r="B27" s="183"/>
      <c r="C27" s="175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spans="1:26" ht="13.5" customHeight="1">
      <c r="A28" s="386" t="s">
        <v>94</v>
      </c>
      <c r="B28" s="214"/>
      <c r="C28" s="96">
        <f>C12</f>
        <v>1900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spans="1:26" ht="13.5" customHeight="1">
      <c r="A29" s="386" t="s">
        <v>95</v>
      </c>
      <c r="B29" s="214"/>
      <c r="C29" s="96">
        <f>H12</f>
        <v>892.5</v>
      </c>
      <c r="D29" s="390" t="s">
        <v>109</v>
      </c>
      <c r="E29" s="214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spans="1:26" ht="13.5" customHeight="1">
      <c r="A30" s="386" t="s">
        <v>110</v>
      </c>
      <c r="B30" s="214"/>
      <c r="C30" s="96">
        <f>M12</f>
        <v>875</v>
      </c>
      <c r="D30" s="390" t="s">
        <v>109</v>
      </c>
      <c r="E30" s="214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spans="1:26" ht="13.5" customHeight="1">
      <c r="A31" s="386" t="s">
        <v>97</v>
      </c>
      <c r="B31" s="214"/>
      <c r="C31" s="96">
        <f>Q12</f>
        <v>1700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spans="1:26" ht="13.5" customHeight="1">
      <c r="A32" s="386" t="s">
        <v>101</v>
      </c>
      <c r="B32" s="214"/>
      <c r="C32" s="96">
        <f>M23</f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spans="1:26" ht="13.5" customHeight="1">
      <c r="A33" s="387" t="s">
        <v>111</v>
      </c>
      <c r="B33" s="214"/>
      <c r="C33" s="97">
        <f>SUM(C28:C32)</f>
        <v>5367.5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spans="1:26" ht="13.5" customHeight="1">
      <c r="A34" s="388"/>
      <c r="B34" s="169"/>
      <c r="C34" s="170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spans="1:26" ht="13.5" customHeight="1">
      <c r="A35" s="389" t="s">
        <v>112</v>
      </c>
      <c r="B35" s="183"/>
      <c r="C35" s="175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spans="1:26" ht="13.5" customHeight="1">
      <c r="A36" s="386" t="s">
        <v>113</v>
      </c>
      <c r="B36" s="214"/>
      <c r="C36" s="96">
        <f>E23/2</f>
        <v>2025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13.5" customHeight="1">
      <c r="A37" s="386" t="s">
        <v>114</v>
      </c>
      <c r="B37" s="214"/>
      <c r="C37" s="96">
        <f>C36</f>
        <v>2025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spans="1:26" ht="13.5" customHeight="1">
      <c r="A38" s="391"/>
      <c r="B38" s="214"/>
      <c r="C38" s="178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 spans="1:26" ht="13.5" customHeight="1">
      <c r="A39" s="387" t="s">
        <v>25</v>
      </c>
      <c r="B39" s="214"/>
      <c r="C39" s="98">
        <f>C36+C33</f>
        <v>7392.5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spans="1:26" ht="13.5" customHeight="1">
      <c r="A40" s="391"/>
      <c r="B40" s="214"/>
      <c r="C40" s="178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 spans="1:26" ht="13.5" customHeight="1">
      <c r="A41" s="385" t="s">
        <v>115</v>
      </c>
      <c r="B41" s="169"/>
      <c r="C41" s="99">
        <f>+C37+C39</f>
        <v>9417.5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 spans="1:26" ht="13.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 spans="1:26" ht="13.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spans="1:26" ht="13.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spans="1:26" ht="13.5" customHeight="1">
      <c r="A45" s="52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spans="1:26" ht="13.5" customHeight="1">
      <c r="A46" s="52"/>
      <c r="B46" s="95"/>
      <c r="C46" s="55"/>
      <c r="D46" s="55"/>
      <c r="E46" s="55"/>
      <c r="F46" s="55"/>
      <c r="G46" s="55"/>
      <c r="H46" s="55"/>
      <c r="I46" s="55"/>
      <c r="J46" s="55"/>
      <c r="K46" s="55"/>
      <c r="L46" s="95"/>
      <c r="M46" s="95"/>
      <c r="N46" s="55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spans="1:26" ht="13.5" customHeight="1">
      <c r="A47" s="52"/>
      <c r="B47" s="101"/>
      <c r="C47" s="101"/>
      <c r="D47" s="102"/>
      <c r="E47" s="103"/>
      <c r="F47" s="102"/>
      <c r="G47" s="102"/>
      <c r="H47" s="102"/>
      <c r="I47" s="102"/>
      <c r="J47" s="102"/>
      <c r="K47" s="102"/>
      <c r="L47" s="100"/>
      <c r="M47" s="100"/>
      <c r="N47" s="10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spans="1:26" ht="13.5" customHeight="1">
      <c r="A48" s="52"/>
      <c r="B48" s="101"/>
      <c r="C48" s="101"/>
      <c r="D48" s="102"/>
      <c r="E48" s="103"/>
      <c r="F48" s="102"/>
      <c r="G48" s="102"/>
      <c r="H48" s="102"/>
      <c r="I48" s="102"/>
      <c r="J48" s="102"/>
      <c r="K48" s="102"/>
      <c r="L48" s="100"/>
      <c r="M48" s="100"/>
      <c r="N48" s="10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spans="1:26" ht="13.5" customHeight="1">
      <c r="A49" s="52"/>
      <c r="B49" s="101"/>
      <c r="C49" s="101"/>
      <c r="D49" s="102"/>
      <c r="E49" s="101"/>
      <c r="F49" s="102"/>
      <c r="G49" s="101"/>
      <c r="H49" s="101"/>
      <c r="I49" s="102"/>
      <c r="J49" s="101"/>
      <c r="K49" s="102"/>
      <c r="L49" s="100"/>
      <c r="M49" s="100"/>
      <c r="N49" s="10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spans="1:26" ht="13.5" customHeight="1">
      <c r="A50" s="52"/>
      <c r="B50" s="101"/>
      <c r="C50" s="101"/>
      <c r="D50" s="102"/>
      <c r="E50" s="101"/>
      <c r="F50" s="102"/>
      <c r="G50" s="101"/>
      <c r="H50" s="101"/>
      <c r="I50" s="102"/>
      <c r="J50" s="101"/>
      <c r="K50" s="102"/>
      <c r="L50" s="100"/>
      <c r="M50" s="100"/>
      <c r="N50" s="10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spans="1:26" ht="13.5" customHeight="1">
      <c r="A51" s="52"/>
      <c r="B51" s="101"/>
      <c r="C51" s="101"/>
      <c r="D51" s="102"/>
      <c r="E51" s="101"/>
      <c r="F51" s="102"/>
      <c r="G51" s="101"/>
      <c r="H51" s="101"/>
      <c r="I51" s="101"/>
      <c r="J51" s="101"/>
      <c r="K51" s="102"/>
      <c r="L51" s="104"/>
      <c r="M51" s="104"/>
      <c r="N51" s="105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spans="1:26" ht="13.5" customHeight="1">
      <c r="A52" s="52"/>
      <c r="B52" s="101"/>
      <c r="C52" s="101"/>
      <c r="D52" s="102"/>
      <c r="E52" s="101"/>
      <c r="F52" s="102"/>
      <c r="G52" s="101"/>
      <c r="H52" s="101"/>
      <c r="I52" s="101"/>
      <c r="J52" s="101"/>
      <c r="K52" s="102"/>
      <c r="L52" s="104"/>
      <c r="M52" s="104"/>
      <c r="N52" s="105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13.5" customHeight="1">
      <c r="A53" s="52"/>
      <c r="B53" s="100"/>
      <c r="C53" s="100"/>
      <c r="D53" s="100"/>
      <c r="E53" s="100"/>
      <c r="F53" s="106"/>
      <c r="G53" s="100"/>
      <c r="H53" s="100"/>
      <c r="I53" s="100"/>
      <c r="J53" s="100"/>
      <c r="K53" s="106"/>
      <c r="L53" s="100"/>
      <c r="M53" s="100"/>
      <c r="N53" s="106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spans="1:26" ht="13.5" customHeight="1">
      <c r="A54" s="52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13.5" customHeight="1">
      <c r="A55" s="52"/>
      <c r="B55" s="100"/>
      <c r="C55" s="100"/>
      <c r="D55" s="55"/>
      <c r="E55" s="100"/>
      <c r="F55" s="100"/>
      <c r="G55" s="100"/>
      <c r="H55" s="100"/>
      <c r="I55" s="55"/>
      <c r="J55" s="100"/>
      <c r="K55" s="100"/>
      <c r="L55" s="100"/>
      <c r="M55" s="100"/>
      <c r="N55" s="100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13.5" customHeight="1">
      <c r="A56" s="52"/>
      <c r="B56" s="100"/>
      <c r="C56" s="100"/>
      <c r="D56" s="107"/>
      <c r="E56" s="108"/>
      <c r="F56" s="108"/>
      <c r="G56" s="100"/>
      <c r="H56" s="100"/>
      <c r="I56" s="101"/>
      <c r="J56" s="108"/>
      <c r="K56" s="108"/>
      <c r="L56" s="108"/>
      <c r="M56" s="108"/>
      <c r="N56" s="108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13.5" customHeight="1">
      <c r="A57" s="52"/>
      <c r="B57" s="100"/>
      <c r="C57" s="100"/>
      <c r="D57" s="107"/>
      <c r="E57" s="108"/>
      <c r="F57" s="108"/>
      <c r="G57" s="100"/>
      <c r="H57" s="100"/>
      <c r="I57" s="101"/>
      <c r="J57" s="108"/>
      <c r="K57" s="108"/>
      <c r="L57" s="108"/>
      <c r="M57" s="108"/>
      <c r="N57" s="108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spans="1:26" ht="13.5" customHeight="1">
      <c r="A58" s="52"/>
      <c r="B58" s="100"/>
      <c r="C58" s="100"/>
      <c r="D58" s="101"/>
      <c r="E58" s="108"/>
      <c r="F58" s="108"/>
      <c r="G58" s="100"/>
      <c r="H58" s="100"/>
      <c r="I58" s="101"/>
      <c r="J58" s="108"/>
      <c r="K58" s="108"/>
      <c r="L58" s="108"/>
      <c r="M58" s="108"/>
      <c r="N58" s="108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13.5" customHeight="1">
      <c r="A59" s="52"/>
      <c r="B59" s="100"/>
      <c r="C59" s="100"/>
      <c r="D59" s="101"/>
      <c r="E59" s="108"/>
      <c r="F59" s="108"/>
      <c r="G59" s="100"/>
      <c r="H59" s="100"/>
      <c r="I59" s="101"/>
      <c r="J59" s="108"/>
      <c r="K59" s="108"/>
      <c r="L59" s="108"/>
      <c r="M59" s="108"/>
      <c r="N59" s="108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3.5" customHeight="1">
      <c r="A60" s="52"/>
      <c r="B60" s="100"/>
      <c r="C60" s="100"/>
      <c r="D60" s="101"/>
      <c r="E60" s="108"/>
      <c r="F60" s="108"/>
      <c r="G60" s="100"/>
      <c r="H60" s="100"/>
      <c r="I60" s="101"/>
      <c r="J60" s="108"/>
      <c r="K60" s="108"/>
      <c r="L60" s="108"/>
      <c r="M60" s="108"/>
      <c r="N60" s="108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spans="1:26" ht="13.5" customHeight="1">
      <c r="A61" s="52"/>
      <c r="B61" s="100"/>
      <c r="C61" s="100"/>
      <c r="D61" s="101"/>
      <c r="E61" s="108"/>
      <c r="F61" s="108"/>
      <c r="G61" s="100"/>
      <c r="H61" s="100"/>
      <c r="I61" s="101"/>
      <c r="J61" s="108"/>
      <c r="K61" s="108"/>
      <c r="L61" s="108"/>
      <c r="M61" s="108"/>
      <c r="N61" s="108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spans="1:26" ht="13.5" customHeight="1">
      <c r="A62" s="52"/>
      <c r="B62" s="100"/>
      <c r="C62" s="100"/>
      <c r="D62" s="101"/>
      <c r="E62" s="108"/>
      <c r="F62" s="108"/>
      <c r="G62" s="100"/>
      <c r="H62" s="100"/>
      <c r="I62" s="101"/>
      <c r="J62" s="108"/>
      <c r="K62" s="108"/>
      <c r="L62" s="108"/>
      <c r="M62" s="108"/>
      <c r="N62" s="108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spans="1:26" ht="13.5" customHeight="1">
      <c r="A63" s="52"/>
      <c r="B63" s="100"/>
      <c r="C63" s="100"/>
      <c r="D63" s="101"/>
      <c r="E63" s="108"/>
      <c r="F63" s="108"/>
      <c r="G63" s="100"/>
      <c r="H63" s="100"/>
      <c r="I63" s="101"/>
      <c r="J63" s="108"/>
      <c r="K63" s="108"/>
      <c r="L63" s="108"/>
      <c r="M63" s="108"/>
      <c r="N63" s="108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spans="1:26" ht="13.5" customHeight="1">
      <c r="A64" s="52"/>
      <c r="B64" s="100"/>
      <c r="C64" s="100"/>
      <c r="D64" s="101"/>
      <c r="E64" s="108"/>
      <c r="F64" s="108"/>
      <c r="G64" s="100"/>
      <c r="H64" s="100"/>
      <c r="I64" s="101"/>
      <c r="J64" s="108"/>
      <c r="K64" s="108"/>
      <c r="L64" s="108"/>
      <c r="M64" s="108"/>
      <c r="N64" s="108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spans="1:26" ht="13.5" customHeight="1">
      <c r="A65" s="52"/>
      <c r="B65" s="100"/>
      <c r="C65" s="100"/>
      <c r="D65" s="101"/>
      <c r="E65" s="108"/>
      <c r="F65" s="108"/>
      <c r="G65" s="100"/>
      <c r="H65" s="100"/>
      <c r="I65" s="101"/>
      <c r="J65" s="108"/>
      <c r="K65" s="108"/>
      <c r="L65" s="108"/>
      <c r="M65" s="108"/>
      <c r="N65" s="108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spans="1:26" ht="13.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spans="1:26" ht="13.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spans="1:26" ht="13.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spans="1:26" ht="13.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spans="1:26" ht="13.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spans="1:26" ht="13.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spans="1:26" ht="13.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spans="1:26" ht="13.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spans="1:26" ht="13.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spans="1:26" ht="13.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spans="1:26" ht="13.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spans="1:26" ht="13.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spans="1:26" ht="13.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spans="1:26" ht="13.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spans="1:26" ht="13.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spans="1:26" ht="13.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spans="1:26" ht="13.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spans="1:26" ht="13.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spans="1:26" ht="13.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spans="1:26" ht="13.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spans="1:26" ht="13.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spans="1:26" ht="13.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spans="1:26" ht="13.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spans="1:26" ht="13.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spans="1:26" ht="13.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spans="1:26" ht="13.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spans="1:26" ht="13.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spans="1:26" ht="13.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spans="1:26" ht="13.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spans="1:26" ht="13.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spans="1:26" ht="13.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spans="1:26" ht="13.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spans="1:26" ht="13.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spans="1:26" ht="13.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spans="1:26" ht="13.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spans="1:26" ht="13.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spans="1:26" ht="13.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spans="1:26" ht="13.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spans="1:26" ht="13.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spans="1:26" ht="13.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spans="1:26" ht="13.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spans="1:26" ht="13.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spans="1:26" ht="13.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spans="1:26" ht="13.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spans="1:26" ht="13.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spans="1:26" ht="13.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spans="1:26" ht="13.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spans="1:26" ht="13.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spans="1:26" ht="13.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spans="1:26" ht="13.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spans="1:26" ht="13.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spans="1:26" ht="13.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spans="1:26" ht="13.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spans="1:26" ht="13.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spans="1:26" ht="13.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spans="1:26" ht="13.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spans="1:26" ht="13.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spans="1:26" ht="13.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spans="1:26" ht="13.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spans="1:26" ht="13.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spans="1:26" ht="13.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spans="1:26" ht="13.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spans="1:26" ht="13.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spans="1:26" ht="13.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spans="1:26" ht="13.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spans="1:26" ht="13.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spans="1:26" ht="13.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spans="1:26" ht="13.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spans="1:26" ht="13.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spans="1:26" ht="13.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spans="1:26" ht="13.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spans="1:26" ht="13.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spans="1:26" ht="13.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spans="1:26" ht="13.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spans="1:26" ht="13.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spans="1:26" ht="13.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spans="1:26" ht="13.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spans="1:26" ht="13.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spans="1:26" ht="13.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spans="1:26" ht="13.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spans="1:26" ht="13.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spans="1:26" ht="13.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spans="1:26" ht="13.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spans="1:26" ht="13.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spans="1:26" ht="13.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3.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3.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3.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3.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3.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3.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3.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3.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3.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3.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3.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3.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3.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3.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3.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3.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3.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3.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spans="1:26" ht="13.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spans="1:26" ht="13.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spans="1:26" ht="13.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spans="1:26" ht="13.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spans="1:26" ht="13.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spans="1:26" ht="13.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spans="1:26" ht="13.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spans="1:26" ht="13.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spans="1:26" ht="13.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spans="1:26" ht="13.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spans="1:26" ht="13.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spans="1:26" ht="13.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spans="1:26" ht="13.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spans="1:26" ht="13.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spans="1:26" ht="13.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spans="1:26" ht="13.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spans="1:26" ht="13.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spans="1:26" ht="13.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spans="1:26" ht="13.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spans="1:26" ht="13.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spans="1:26" ht="13.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spans="1:26" ht="13.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spans="1:26" ht="13.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spans="1:26" ht="13.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spans="1:26" ht="13.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spans="1:26" ht="13.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spans="1:26" ht="13.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spans="1:26" ht="13.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spans="1:26" ht="13.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spans="1:26" ht="13.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spans="1:26" ht="13.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spans="1:26" ht="13.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spans="1:26" ht="13.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spans="1:26" ht="13.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spans="1:26" ht="13.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spans="1:26" ht="13.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spans="1:26" ht="13.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spans="1:26" ht="13.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spans="1:26" ht="13.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spans="1:26" ht="13.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spans="1:26" ht="13.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spans="1:26" ht="13.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spans="1:26" ht="13.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spans="1:26" ht="13.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spans="1:26" ht="13.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spans="1:26" ht="13.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spans="1:26" ht="13.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spans="1:26" ht="13.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spans="1:26" ht="13.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spans="1:26" ht="13.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spans="1:26" ht="13.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spans="1:26" ht="13.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spans="1:26" ht="13.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spans="1:26" ht="13.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spans="1:26" ht="13.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spans="1:26" ht="13.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spans="1:26" ht="13.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spans="1:26" ht="13.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spans="1:26" ht="13.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spans="1:26" ht="13.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spans="1:26" ht="13.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spans="1:26" ht="13.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spans="1:26" ht="13.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spans="1:26" ht="13.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spans="1:26" ht="13.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spans="1:26" ht="13.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spans="1:26" ht="13.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spans="1:26" ht="13.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spans="1:26" ht="13.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spans="1:26" ht="13.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spans="1:26" ht="13.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spans="1:26" ht="13.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spans="1:26" ht="13.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spans="1:26" ht="13.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spans="1:26" ht="13.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spans="1:26" ht="13.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spans="1:26" ht="13.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spans="1:26" ht="13.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spans="1:26" ht="13.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spans="1:26" ht="13.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spans="1:26" ht="13.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spans="1:26" ht="13.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spans="1:26" ht="13.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spans="1:26" ht="13.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spans="1:26" ht="13.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spans="1:26" ht="13.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spans="1:26" ht="13.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spans="1:26" ht="13.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spans="1:26" ht="13.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spans="1:26" ht="13.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spans="1:26" ht="13.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spans="1:26" ht="13.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spans="1:26" ht="13.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spans="1:26" ht="13.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spans="1:26" ht="13.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spans="1:26" ht="13.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spans="1:26" ht="13.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spans="1:26" ht="13.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spans="1:26" ht="13.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spans="1:26" ht="13.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spans="1:26" ht="13.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spans="1:26" ht="13.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spans="1:26" ht="13.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spans="1:26" ht="13.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spans="1:26" ht="13.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spans="1:26" ht="13.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spans="1:26" ht="13.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spans="1:26" ht="13.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spans="1:26" ht="13.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spans="1:26" ht="13.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spans="1:26" ht="13.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spans="1:26" ht="13.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spans="1:26" ht="13.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spans="1:26" ht="13.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spans="1:26" ht="13.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spans="1:26" ht="13.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spans="1:26" ht="13.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spans="1:26" ht="13.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spans="1:26" ht="13.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spans="1:26" ht="13.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spans="1:26" ht="13.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spans="1:26" ht="13.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spans="1:26" ht="13.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spans="1:26" ht="13.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spans="1:26" ht="13.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spans="1:26" ht="13.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spans="1:26" ht="13.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spans="1:26" ht="13.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spans="1:26" ht="13.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spans="1:26" ht="13.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spans="1:26" ht="13.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spans="1:26" ht="13.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spans="1:26" ht="13.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spans="1:26" ht="13.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spans="1:26" ht="13.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spans="1:26" ht="13.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spans="1:26" ht="13.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spans="1:26" ht="13.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spans="1:26" ht="13.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spans="1:26" ht="13.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spans="1:26" ht="13.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spans="1:26" ht="13.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spans="1:26" ht="13.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spans="1:26" ht="13.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spans="1:26" ht="13.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spans="1:26" ht="13.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spans="1:26" ht="13.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spans="1:26" ht="13.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spans="1:26" ht="13.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spans="1:26" ht="13.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spans="1:26" ht="13.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spans="1:26" ht="13.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spans="1:26" ht="13.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spans="1:26" ht="13.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spans="1:26" ht="13.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spans="1:26" ht="13.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spans="1:26" ht="13.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spans="1:26" ht="13.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spans="1:26" ht="13.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spans="1:26" ht="13.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spans="1:26" ht="13.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spans="1:26" ht="13.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spans="1:26" ht="13.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spans="1:26" ht="13.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spans="1:26" ht="13.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spans="1:26" ht="13.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spans="1:26" ht="13.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spans="1:26" ht="13.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spans="1:26" ht="13.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spans="1:26" ht="13.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spans="1:26" ht="13.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spans="1:26" ht="13.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spans="1:26" ht="13.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spans="1:26" ht="13.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spans="1:26" ht="13.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spans="1:26" ht="13.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spans="1:26" ht="13.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spans="1:26" ht="13.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spans="1:26" ht="13.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spans="1:26" ht="13.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spans="1:26" ht="13.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spans="1:26" ht="13.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spans="1:26" ht="13.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spans="1:26" ht="13.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spans="1:26" ht="13.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spans="1:26" ht="13.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spans="1:26" ht="13.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spans="1:26" ht="13.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spans="1:26" ht="13.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spans="1:26" ht="13.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spans="1:26" ht="13.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spans="1:26" ht="13.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spans="1:26" ht="13.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spans="1:26" ht="13.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spans="1:26" ht="13.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spans="1:26" ht="13.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spans="1:26" ht="13.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spans="1:26" ht="13.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spans="1:26" ht="13.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spans="1:26" ht="13.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spans="1:26" ht="13.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spans="1:26" ht="13.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spans="1:26" ht="13.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spans="1:26" ht="13.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spans="1:26" ht="13.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spans="1:26" ht="13.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spans="1:26" ht="13.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spans="1:26" ht="13.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spans="1:26" ht="13.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spans="1:26" ht="13.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spans="1:26" ht="13.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spans="1:26" ht="13.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spans="1:26" ht="13.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spans="1:26" ht="13.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spans="1:26" ht="13.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spans="1:26" ht="13.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spans="1:26" ht="13.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spans="1:26" ht="13.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spans="1:26" ht="13.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spans="1:26" ht="13.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spans="1:26" ht="13.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spans="1:26" ht="13.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spans="1:26" ht="13.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spans="1:26" ht="13.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spans="1:26" ht="13.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spans="1:26" ht="13.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spans="1:26" ht="13.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spans="1:26" ht="13.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spans="1:26" ht="13.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spans="1:26" ht="13.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spans="1:26" ht="13.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spans="1:26" ht="13.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spans="1:26" ht="13.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spans="1:26" ht="13.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spans="1:26" ht="13.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spans="1:26" ht="13.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spans="1:26" ht="13.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spans="1:26" ht="13.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spans="1:26" ht="13.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 spans="1:26" ht="13.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 spans="1:26" ht="13.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 spans="1:26" ht="13.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 spans="1:26" ht="13.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 spans="1:26" ht="13.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 spans="1:26" ht="13.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 spans="1:26" ht="13.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 spans="1:26" ht="13.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 spans="1:26" ht="13.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 spans="1:26" ht="13.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 spans="1:26" ht="13.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 spans="1:26" ht="13.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 spans="1:26" ht="13.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 spans="1:26" ht="13.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 spans="1:26" ht="13.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 spans="1:26" ht="13.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 spans="1:26" ht="13.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 spans="1:26" ht="13.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 spans="1:26" ht="13.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 spans="1:26" ht="13.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 spans="1:26" ht="13.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 spans="1:26" ht="13.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 spans="1:26" ht="13.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 spans="1:26" ht="13.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 spans="1:26" ht="13.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 spans="1:26" ht="13.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 spans="1:26" ht="13.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 spans="1:26" ht="13.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 spans="1:26" ht="13.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 spans="1:26" ht="13.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 spans="1:26" ht="13.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 spans="1:26" ht="13.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 spans="1:26" ht="13.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 spans="1:26" ht="13.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 spans="1:26" ht="13.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 spans="1:26" ht="13.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 spans="1:26" ht="13.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 spans="1:26" ht="13.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 spans="1:26" ht="13.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 spans="1:26" ht="13.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 spans="1:26" ht="13.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 spans="1:26" ht="13.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 spans="1:26" ht="13.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 spans="1:26" ht="13.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 spans="1:26" ht="13.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 spans="1:26" ht="13.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 spans="1:26" ht="13.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 spans="1:26" ht="13.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 spans="1:26" ht="13.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 spans="1:26" ht="13.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 spans="1:26" ht="13.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spans="1:26" ht="13.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spans="1:26" ht="13.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spans="1:26" ht="13.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spans="1:26" ht="13.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spans="1:26" ht="13.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spans="1:26" ht="13.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spans="1:26" ht="13.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spans="1:26" ht="13.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spans="1:26" ht="13.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 spans="1:26" ht="13.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 spans="1:26" ht="13.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 spans="1:26" ht="13.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 spans="1:26" ht="13.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 spans="1:26" ht="13.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 spans="1:26" ht="13.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 spans="1:26" ht="13.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 spans="1:26" ht="13.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 spans="1:26" ht="13.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 spans="1:26" ht="13.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 spans="1:26" ht="13.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 spans="1:26" ht="13.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 spans="1:26" ht="13.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 spans="1:26" ht="13.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 spans="1:26" ht="13.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 spans="1:26" ht="13.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 spans="1:26" ht="13.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 spans="1:26" ht="13.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 spans="1:26" ht="13.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 spans="1:26" ht="13.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 spans="1:26" ht="13.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 spans="1:26" ht="13.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 spans="1:26" ht="13.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 spans="1:26" ht="13.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 spans="1:26" ht="13.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 spans="1:26" ht="13.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 spans="1:26" ht="13.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 spans="1:26" ht="13.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 spans="1:26" ht="13.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 spans="1:26" ht="13.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 spans="1:26" ht="13.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 spans="1:26" ht="13.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 spans="1:26" ht="13.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 spans="1:26" ht="13.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 spans="1:26" ht="13.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 spans="1:26" ht="13.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 spans="1:26" ht="13.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 spans="1:26" ht="13.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 spans="1:26" ht="13.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 spans="1:26" ht="13.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 spans="1:26" ht="13.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 spans="1:26" ht="13.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 spans="1:26" ht="13.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 spans="1:26" ht="13.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 spans="1:26" ht="13.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 spans="1:26" ht="13.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 spans="1:26" ht="13.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 spans="1:26" ht="13.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 spans="1:26" ht="13.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 spans="1:26" ht="13.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 spans="1:26" ht="13.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 spans="1:26" ht="13.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 spans="1:26" ht="13.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 spans="1:26" ht="13.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 spans="1:26" ht="13.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 spans="1:26" ht="13.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 spans="1:26" ht="13.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 spans="1:26" ht="13.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 spans="1:26" ht="13.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 spans="1:26" ht="13.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 spans="1:26" ht="13.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 spans="1:26" ht="13.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 spans="1:26" ht="13.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 spans="1:26" ht="13.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 spans="1:26" ht="13.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 spans="1:26" ht="13.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 spans="1:26" ht="13.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 spans="1:26" ht="13.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 spans="1:26" ht="13.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 spans="1:26" ht="13.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 spans="1:26" ht="13.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 spans="1:26" ht="13.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 spans="1:26" ht="13.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 spans="1:26" ht="13.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 spans="1:26" ht="13.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 spans="1:26" ht="13.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 spans="1:26" ht="13.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 spans="1:26" ht="13.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 spans="1:26" ht="13.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 spans="1:26" ht="13.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 spans="1:26" ht="13.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 spans="1:26" ht="13.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 spans="1:26" ht="13.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 spans="1:26" ht="13.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 spans="1:26" ht="13.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 spans="1:26" ht="13.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 spans="1:26" ht="13.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 spans="1:26" ht="13.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 spans="1:26" ht="13.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 spans="1:26" ht="13.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 spans="1:26" ht="13.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 spans="1:26" ht="13.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 spans="1:26" ht="13.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 spans="1:26" ht="13.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 spans="1:26" ht="13.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 spans="1:26" ht="13.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 spans="1:26" ht="13.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 spans="1:26" ht="13.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 spans="1:26" ht="13.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 spans="1:26" ht="13.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 spans="1:26" ht="13.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 spans="1:26" ht="13.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 spans="1:26" ht="13.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 spans="1:26" ht="13.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 spans="1:26" ht="13.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 spans="1:26" ht="13.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 spans="1:26" ht="13.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 spans="1:26" ht="13.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 spans="1:26" ht="13.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 spans="1:26" ht="13.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 spans="1:26" ht="13.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 spans="1:26" ht="13.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 spans="1:26" ht="13.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 spans="1:26" ht="13.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 spans="1:26" ht="13.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 spans="1:26" ht="13.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 spans="1:26" ht="13.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 spans="1:26" ht="13.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 spans="1:26" ht="13.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 spans="1:26" ht="13.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 spans="1:26" ht="13.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 spans="1:26" ht="13.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 spans="1:26" ht="13.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 spans="1:26" ht="13.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 spans="1:26" ht="13.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 spans="1:26" ht="13.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 spans="1:26" ht="13.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 spans="1:26" ht="13.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 spans="1:26" ht="13.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 spans="1:26" ht="13.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 spans="1:26" ht="13.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 spans="1:26" ht="13.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 spans="1:26" ht="13.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 spans="1:26" ht="13.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 spans="1:26" ht="13.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 spans="1:26" ht="13.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 spans="1:26" ht="13.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 spans="1:26" ht="13.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 spans="1:26" ht="13.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 spans="1:26" ht="13.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 spans="1:26" ht="13.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 spans="1:26" ht="13.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 spans="1:26" ht="13.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 spans="1:26" ht="13.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 spans="1:26" ht="13.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 spans="1:26" ht="13.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 spans="1:26" ht="13.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 spans="1:26" ht="13.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 spans="1:26" ht="13.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 spans="1:26" ht="13.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 spans="1:26" ht="13.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 spans="1:26" ht="13.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 spans="1:26" ht="13.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 spans="1:26" ht="13.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 spans="1:26" ht="13.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 spans="1:26" ht="13.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 spans="1:26" ht="13.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 spans="1:26" ht="13.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 spans="1:26" ht="13.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 spans="1:26" ht="13.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 spans="1:26" ht="13.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 spans="1:26" ht="13.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 spans="1:26" ht="13.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 spans="1:26" ht="13.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 spans="1:26" ht="13.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 spans="1:26" ht="13.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 spans="1:26" ht="13.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 spans="1:26" ht="13.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 spans="1:26" ht="13.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 spans="1:26" ht="13.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 spans="1:26" ht="13.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 spans="1:26" ht="13.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 spans="1:26" ht="13.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 spans="1:26" ht="13.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 spans="1:26" ht="13.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 spans="1:26" ht="13.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 spans="1:26" ht="13.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 spans="1:26" ht="13.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 spans="1:26" ht="13.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 spans="1:26" ht="13.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 spans="1:26" ht="13.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 spans="1:26" ht="13.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 spans="1:26" ht="13.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 spans="1:26" ht="13.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 spans="1:26" ht="13.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 spans="1:26" ht="13.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 spans="1:26" ht="13.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 spans="1:26" ht="13.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 spans="1:26" ht="13.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 spans="1:26" ht="13.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 spans="1:26" ht="13.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 spans="1:26" ht="13.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 spans="1:26" ht="13.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 spans="1:26" ht="13.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 spans="1:26" ht="13.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 spans="1:26" ht="13.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 spans="1:26" ht="13.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 spans="1:26" ht="13.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 spans="1:26" ht="13.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 spans="1:26" ht="13.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 spans="1:26" ht="13.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 spans="1:26" ht="13.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 spans="1:26" ht="13.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 spans="1:26" ht="13.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 spans="1:26" ht="13.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 spans="1:26" ht="13.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 spans="1:26" ht="13.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 spans="1:26" ht="13.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 spans="1:26" ht="13.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 spans="1:26" ht="13.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 spans="1:26" ht="13.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 spans="1:26" ht="13.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 spans="1:26" ht="13.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 spans="1:26" ht="13.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 spans="1:26" ht="13.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 spans="1:26" ht="13.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 spans="1:26" ht="13.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 spans="1:26" ht="13.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 spans="1:26" ht="13.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 spans="1:26" ht="13.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 spans="1:26" ht="13.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 spans="1:26" ht="13.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 spans="1:26" ht="13.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 spans="1:26" ht="13.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 spans="1:26" ht="13.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 spans="1:26" ht="13.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 spans="1:26" ht="13.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 spans="1:26" ht="13.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 spans="1:26" ht="13.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 spans="1:26" ht="13.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 spans="1:26" ht="13.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 spans="1:26" ht="13.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 spans="1:26" ht="13.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 spans="1:26" ht="13.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 spans="1:26" ht="13.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 spans="1:26" ht="13.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 spans="1:26" ht="13.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 spans="1:26" ht="13.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 spans="1:26" ht="13.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 spans="1:26" ht="13.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 spans="1:26" ht="13.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 spans="1:26" ht="13.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 spans="1:26" ht="13.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 spans="1:26" ht="13.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 spans="1:26" ht="13.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 spans="1:26" ht="13.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 spans="1:26" ht="13.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 spans="1:26" ht="13.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 spans="1:26" ht="13.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 spans="1:26" ht="13.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 spans="1:26" ht="13.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 spans="1:26" ht="13.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 spans="1:26" ht="13.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 spans="1:26" ht="13.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 spans="1:26" ht="13.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 spans="1:26" ht="13.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 spans="1:26" ht="13.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 spans="1:26" ht="13.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 spans="1:26" ht="13.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 spans="1:26" ht="13.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 spans="1:26" ht="13.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 spans="1:26" ht="13.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 spans="1:26" ht="13.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 spans="1:26" ht="13.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 spans="1:26" ht="13.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 spans="1:26" ht="13.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 spans="1:26" ht="13.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 spans="1:26" ht="13.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 spans="1:26" ht="13.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 spans="1:26" ht="13.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 spans="1:26" ht="13.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 spans="1:26" ht="13.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 spans="1:26" ht="13.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 spans="1:26" ht="13.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 spans="1:26" ht="13.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 spans="1:26" ht="13.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 spans="1:26" ht="13.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 spans="1:26" ht="13.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 spans="1:26" ht="13.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 spans="1:26" ht="13.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 spans="1:26" ht="13.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 spans="1:26" ht="13.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 spans="1:26" ht="13.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 spans="1:26" ht="13.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 spans="1:26" ht="13.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 spans="1:26" ht="13.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 spans="1:26" ht="13.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 spans="1:26" ht="13.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 spans="1:26" ht="13.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 spans="1:26" ht="13.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 spans="1:26" ht="13.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 spans="1:26" ht="13.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 spans="1:26" ht="13.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 spans="1:26" ht="13.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 spans="1:26" ht="13.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 spans="1:26" ht="13.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 spans="1:26" ht="13.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 spans="1:26" ht="13.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 spans="1:26" ht="13.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 spans="1:26" ht="13.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 spans="1:26" ht="13.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 spans="1:26" ht="13.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 spans="1:26" ht="13.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 spans="1:26" ht="13.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 spans="1:26" ht="13.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 spans="1:26" ht="13.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 spans="1:26" ht="13.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 spans="1:26" ht="13.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 spans="1:26" ht="13.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 spans="1:26" ht="13.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 spans="1:26" ht="13.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 spans="1:26" ht="13.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 spans="1:26" ht="13.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 spans="1:26" ht="13.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 spans="1:26" ht="13.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 spans="1:26" ht="13.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 spans="1:26" ht="13.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 spans="1:26" ht="13.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 spans="1:26" ht="13.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 spans="1:26" ht="13.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 spans="1:26" ht="13.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 spans="1:26" ht="13.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 spans="1:26" ht="13.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 spans="1:26" ht="13.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 spans="1:26" ht="13.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 spans="1:26" ht="13.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 spans="1:26" ht="13.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 spans="1:26" ht="13.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 spans="1:26" ht="13.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 spans="1:26" ht="13.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 spans="1:26" ht="13.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 spans="1:26" ht="13.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 spans="1:26" ht="13.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 spans="1:26" ht="13.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 spans="1:26" ht="13.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 spans="1:26" ht="13.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 spans="1:26" ht="13.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 spans="1:26" ht="13.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 spans="1:26" ht="13.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 spans="1:26" ht="13.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 spans="1:26" ht="13.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 spans="1:26" ht="13.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 spans="1:26" ht="13.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 spans="1:26" ht="13.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 spans="1:26" ht="13.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 spans="1:26" ht="13.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 spans="1:26" ht="13.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 spans="1:26" ht="13.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 spans="1:26" ht="13.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 spans="1:26" ht="13.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 spans="1:26" ht="13.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 spans="1:26" ht="13.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 spans="1:26" ht="13.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 spans="1:26" ht="13.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 spans="1:26" ht="13.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 spans="1:26" ht="13.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 spans="1:26" ht="13.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 spans="1:26" ht="13.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 spans="1:26" ht="13.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 spans="1:26" ht="13.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 spans="1:26" ht="13.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 spans="1:26" ht="13.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 spans="1:26" ht="13.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 spans="1:26" ht="13.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 spans="1:26" ht="13.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 spans="1:26" ht="13.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 spans="1:26" ht="13.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 spans="1:26" ht="13.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 spans="1:26" ht="13.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 spans="1:26" ht="13.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 spans="1:26" ht="13.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 spans="1:26" ht="13.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 spans="1:26" ht="13.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 spans="1:26" ht="13.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 spans="1:26" ht="13.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 spans="1:26" ht="13.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 spans="1:26" ht="13.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 spans="1:26" ht="13.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 spans="1:26" ht="13.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 spans="1:26" ht="13.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 spans="1:26" ht="13.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 spans="1:26" ht="13.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 spans="1:26" ht="13.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 spans="1:26" ht="13.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 spans="1:26" ht="13.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 spans="1:26" ht="13.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 spans="1:26" ht="13.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 spans="1:26" ht="13.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 spans="1:26" ht="13.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 spans="1:26" ht="13.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 spans="1:26" ht="13.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 spans="1:26" ht="13.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 spans="1:26" ht="13.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 spans="1:26" ht="13.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 spans="1:26" ht="13.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 spans="1:26" ht="13.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 spans="1:26" ht="13.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 spans="1:26" ht="13.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 spans="1:26" ht="13.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 spans="1:26" ht="13.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 spans="1:26" ht="13.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 spans="1:26" ht="13.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 spans="1:26" ht="13.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 spans="1:26" ht="13.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 spans="1:26" ht="13.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 spans="1:26" ht="13.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 spans="1:26" ht="13.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 spans="1:26" ht="13.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 spans="1:26" ht="13.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 spans="1:26" ht="13.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 spans="1:26" ht="13.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 spans="1:26" ht="13.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 spans="1:26" ht="13.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 spans="1:26" ht="13.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 spans="1:26" ht="13.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 spans="1:26" ht="13.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 spans="1:26" ht="13.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 spans="1:26" ht="13.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 spans="1:26" ht="13.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 spans="1:26" ht="13.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 spans="1:26" ht="13.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 spans="1:26" ht="13.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 spans="1:26" ht="13.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 spans="1:26" ht="13.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 spans="1:26" ht="13.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 spans="1:26" ht="13.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 spans="1:26" ht="13.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 spans="1:26" ht="13.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 spans="1:26" ht="13.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 spans="1:26" ht="13.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 spans="1:26" ht="13.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 spans="1:26" ht="13.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 spans="1:26" ht="13.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 spans="1:26" ht="13.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 spans="1:26" ht="13.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 spans="1:26" ht="13.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 spans="1:26" ht="13.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 spans="1:26" ht="13.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 spans="1:26" ht="13.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 spans="1:26" ht="13.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 spans="1:26" ht="13.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 spans="1:26" ht="13.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 spans="1:26" ht="13.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 spans="1:26" ht="13.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 spans="1:26" ht="13.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 spans="1:26" ht="13.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 spans="1:26" ht="13.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 spans="1:26" ht="13.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 spans="1:26" ht="13.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 spans="1:26" ht="13.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 spans="1:26" ht="13.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 spans="1:26" ht="13.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 spans="1:26" ht="13.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 spans="1:26" ht="13.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 spans="1:26" ht="13.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 spans="1:26" ht="13.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 spans="1:26" ht="13.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 spans="1:26" ht="13.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 spans="1:26" ht="13.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 spans="1:26" ht="13.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 spans="1:26" ht="13.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 spans="1:26" ht="13.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 spans="1:26" ht="13.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 spans="1:26" ht="13.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 spans="1:26" ht="13.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 spans="1:26" ht="13.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 spans="1:26" ht="13.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 spans="1:26" ht="13.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 spans="1:26" ht="13.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 spans="1:26" ht="13.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 spans="1:26" ht="13.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 spans="1:26" ht="13.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 spans="1:26" ht="13.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 spans="1:26" ht="13.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 spans="1:26" ht="13.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 spans="1:26" ht="13.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 spans="1:26" ht="13.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 spans="1:26" ht="13.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 spans="1:26" ht="13.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 spans="1:26" ht="13.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 spans="1:26" ht="13.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 spans="1:26" ht="13.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 spans="1:26" ht="13.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 spans="1:26" ht="13.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 spans="1:26" ht="13.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 spans="1:26" ht="13.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 spans="1:26" ht="13.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 spans="1:26" ht="13.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 spans="1:26" ht="13.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 spans="1:26" ht="13.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 spans="1:26" ht="13.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 spans="1:26" ht="13.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 spans="1:26" ht="13.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 spans="1:26" ht="13.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 spans="1:26" ht="13.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 spans="1:26" ht="13.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 spans="1:26" ht="13.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 spans="1:26" ht="13.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 spans="1:26" ht="13.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 spans="1:26" ht="13.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 spans="1:26" ht="13.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 spans="1:26" ht="13.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 spans="1:26" ht="13.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 spans="1:26" ht="13.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 spans="1:26" ht="13.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 spans="1:26" ht="13.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 spans="1:26" ht="13.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 spans="1:26" ht="13.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 spans="1:26" ht="13.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 spans="1:26" ht="13.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 spans="1:26" ht="13.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 spans="1:26" ht="13.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 spans="1:26" ht="13.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 spans="1:26" ht="13.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 spans="1:26" ht="13.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 spans="1:26" ht="13.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 spans="1:26" ht="13.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 spans="1:26" ht="13.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 spans="1:26" ht="13.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 spans="1:26" ht="13.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 spans="1:26" ht="13.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 spans="1:26" ht="13.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 spans="1:26" ht="13.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 spans="1:26" ht="13.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 spans="1:26" ht="13.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 spans="1:26" ht="13.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 spans="1:26" ht="13.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 spans="1:26" ht="13.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 spans="1:26" ht="13.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 spans="1:26" ht="13.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 spans="1:26" ht="13.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 spans="1:26" ht="13.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 spans="1:26" ht="13.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4"/>
      <c r="K3" s="339" t="s">
        <v>40</v>
      </c>
      <c r="L3" s="214"/>
      <c r="M3" s="214"/>
      <c r="N3" s="214"/>
      <c r="O3" s="214"/>
      <c r="P3" s="214"/>
      <c r="Q3" s="214"/>
      <c r="R3" s="214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216" t="s">
        <v>2</v>
      </c>
      <c r="C6" s="217"/>
      <c r="D6" s="218"/>
      <c r="E6" s="175"/>
      <c r="F6" s="25"/>
      <c r="G6" s="30"/>
      <c r="H6" s="3"/>
      <c r="I6" s="3"/>
      <c r="J6" s="216" t="s">
        <v>3</v>
      </c>
      <c r="K6" s="217"/>
      <c r="L6" s="219" t="s">
        <v>41</v>
      </c>
      <c r="M6" s="175"/>
      <c r="N6" s="3"/>
      <c r="O6" s="3"/>
      <c r="P6" s="3"/>
      <c r="Q6" s="4" t="s">
        <v>5</v>
      </c>
      <c r="R6" s="5">
        <f ca="1">TODAY()</f>
        <v>46001</v>
      </c>
      <c r="S6" s="220"/>
      <c r="T6" s="214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46" t="s">
        <v>116</v>
      </c>
      <c r="C8" s="325"/>
      <c r="D8" s="325"/>
      <c r="E8" s="325"/>
      <c r="F8" s="325"/>
      <c r="G8" s="325"/>
      <c r="H8" s="326"/>
      <c r="I8" s="6"/>
      <c r="J8" s="424" t="s">
        <v>117</v>
      </c>
      <c r="K8" s="325"/>
      <c r="L8" s="325"/>
      <c r="M8" s="325"/>
      <c r="N8" s="326"/>
      <c r="O8" s="6"/>
      <c r="P8" s="324" t="s">
        <v>8</v>
      </c>
      <c r="Q8" s="325"/>
      <c r="R8" s="326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09" t="s">
        <v>9</v>
      </c>
      <c r="C9" s="110" t="s">
        <v>10</v>
      </c>
      <c r="D9" s="110" t="s">
        <v>118</v>
      </c>
      <c r="E9" s="111" t="s">
        <v>85</v>
      </c>
      <c r="F9" s="110" t="s">
        <v>119</v>
      </c>
      <c r="G9" s="110" t="s">
        <v>120</v>
      </c>
      <c r="H9" s="112" t="s">
        <v>13</v>
      </c>
      <c r="I9" s="10"/>
      <c r="J9" s="113" t="s">
        <v>121</v>
      </c>
      <c r="K9" s="110" t="s">
        <v>90</v>
      </c>
      <c r="L9" s="110" t="s">
        <v>122</v>
      </c>
      <c r="M9" s="110" t="s">
        <v>123</v>
      </c>
      <c r="N9" s="112" t="s">
        <v>13</v>
      </c>
      <c r="O9" s="10"/>
      <c r="P9" s="114"/>
      <c r="Q9" s="115"/>
      <c r="R9" s="116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28">
        <v>1</v>
      </c>
      <c r="C10" s="345" t="s">
        <v>124</v>
      </c>
      <c r="D10" s="418" t="s">
        <v>125</v>
      </c>
      <c r="E10" s="429" t="s">
        <v>126</v>
      </c>
      <c r="F10" s="418">
        <v>77</v>
      </c>
      <c r="G10" s="345">
        <v>100</v>
      </c>
      <c r="H10" s="419">
        <f>G10*F10</f>
        <v>7700</v>
      </c>
      <c r="I10" s="12"/>
      <c r="J10" s="416">
        <v>425</v>
      </c>
      <c r="K10" s="418">
        <v>650</v>
      </c>
      <c r="L10" s="418">
        <v>950</v>
      </c>
      <c r="M10" s="418">
        <v>650</v>
      </c>
      <c r="N10" s="419">
        <f>SUM(J10:M10)</f>
        <v>2675</v>
      </c>
      <c r="O10" s="12"/>
      <c r="P10" s="412" t="s">
        <v>127</v>
      </c>
      <c r="Q10" s="328"/>
      <c r="R10" s="443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417"/>
      <c r="C11" s="240"/>
      <c r="D11" s="240"/>
      <c r="E11" s="243"/>
      <c r="F11" s="240"/>
      <c r="G11" s="240"/>
      <c r="H11" s="420"/>
      <c r="I11" s="12"/>
      <c r="J11" s="417"/>
      <c r="K11" s="240"/>
      <c r="L11" s="240"/>
      <c r="M11" s="240"/>
      <c r="N11" s="420"/>
      <c r="O11" s="12"/>
      <c r="P11" s="177"/>
      <c r="Q11" s="214"/>
      <c r="R11" s="444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30">
        <v>2</v>
      </c>
      <c r="C12" s="248" t="s">
        <v>128</v>
      </c>
      <c r="D12" s="431" t="s">
        <v>125</v>
      </c>
      <c r="E12" s="432" t="s">
        <v>129</v>
      </c>
      <c r="F12" s="431">
        <v>59</v>
      </c>
      <c r="G12" s="248">
        <v>100</v>
      </c>
      <c r="H12" s="423">
        <f>G12*F12</f>
        <v>5900</v>
      </c>
      <c r="I12" s="12"/>
      <c r="J12" s="441">
        <v>425</v>
      </c>
      <c r="K12" s="431">
        <v>650</v>
      </c>
      <c r="L12" s="431">
        <v>950</v>
      </c>
      <c r="M12" s="404"/>
      <c r="N12" s="423">
        <f>SUM(J12:M13)</f>
        <v>2025</v>
      </c>
      <c r="O12" s="12"/>
      <c r="P12" s="177"/>
      <c r="Q12" s="214"/>
      <c r="R12" s="444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417"/>
      <c r="C13" s="240"/>
      <c r="D13" s="240"/>
      <c r="E13" s="433"/>
      <c r="F13" s="240"/>
      <c r="G13" s="240"/>
      <c r="H13" s="420"/>
      <c r="I13" s="12"/>
      <c r="J13" s="417"/>
      <c r="K13" s="240"/>
      <c r="L13" s="240"/>
      <c r="M13" s="240"/>
      <c r="N13" s="420"/>
      <c r="O13" s="12"/>
      <c r="P13" s="229"/>
      <c r="Q13" s="329"/>
      <c r="R13" s="445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28">
        <v>3</v>
      </c>
      <c r="C14" s="345" t="s">
        <v>130</v>
      </c>
      <c r="D14" s="418" t="s">
        <v>131</v>
      </c>
      <c r="E14" s="429" t="s">
        <v>132</v>
      </c>
      <c r="F14" s="418">
        <v>51</v>
      </c>
      <c r="G14" s="345">
        <v>100</v>
      </c>
      <c r="H14" s="419">
        <f>G14*F14</f>
        <v>5100</v>
      </c>
      <c r="I14" s="12"/>
      <c r="J14" s="416">
        <v>425</v>
      </c>
      <c r="K14" s="418">
        <v>650</v>
      </c>
      <c r="L14" s="418">
        <v>950</v>
      </c>
      <c r="M14" s="404"/>
      <c r="N14" s="419">
        <f>SUM(J14:M15)</f>
        <v>2025</v>
      </c>
      <c r="O14" s="12"/>
      <c r="P14" s="412" t="s">
        <v>133</v>
      </c>
      <c r="Q14" s="228"/>
      <c r="R14" s="421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417"/>
      <c r="C15" s="240"/>
      <c r="D15" s="240"/>
      <c r="E15" s="243"/>
      <c r="F15" s="240"/>
      <c r="G15" s="240"/>
      <c r="H15" s="420"/>
      <c r="I15" s="12"/>
      <c r="J15" s="417"/>
      <c r="K15" s="240"/>
      <c r="L15" s="240"/>
      <c r="M15" s="240"/>
      <c r="N15" s="420"/>
      <c r="O15" s="12"/>
      <c r="P15" s="177"/>
      <c r="Q15" s="413"/>
      <c r="R15" s="422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30">
        <v>4</v>
      </c>
      <c r="C16" s="248" t="s">
        <v>134</v>
      </c>
      <c r="D16" s="431" t="s">
        <v>131</v>
      </c>
      <c r="E16" s="432" t="s">
        <v>135</v>
      </c>
      <c r="F16" s="431">
        <v>75</v>
      </c>
      <c r="G16" s="248">
        <v>100</v>
      </c>
      <c r="H16" s="423">
        <f>G16*F16</f>
        <v>7500</v>
      </c>
      <c r="I16" s="12"/>
      <c r="J16" s="441">
        <v>425</v>
      </c>
      <c r="K16" s="431">
        <v>650</v>
      </c>
      <c r="L16" s="431">
        <v>950</v>
      </c>
      <c r="M16" s="404"/>
      <c r="N16" s="423">
        <f>SUM(J16:M17)</f>
        <v>2025</v>
      </c>
      <c r="O16" s="12"/>
      <c r="P16" s="177"/>
      <c r="Q16" s="413"/>
      <c r="R16" s="422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417"/>
      <c r="C17" s="240"/>
      <c r="D17" s="240"/>
      <c r="E17" s="433"/>
      <c r="F17" s="240"/>
      <c r="G17" s="240"/>
      <c r="H17" s="420"/>
      <c r="I17" s="117"/>
      <c r="J17" s="417"/>
      <c r="K17" s="240"/>
      <c r="L17" s="240"/>
      <c r="M17" s="240"/>
      <c r="N17" s="420"/>
      <c r="O17" s="117"/>
      <c r="P17" s="229"/>
      <c r="Q17" s="230"/>
      <c r="R17" s="420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434" t="s">
        <v>127</v>
      </c>
      <c r="C18" s="435"/>
      <c r="D18" s="435"/>
      <c r="E18" s="435"/>
      <c r="F18" s="435"/>
      <c r="G18" s="436"/>
      <c r="H18" s="118">
        <f>SUM(H10:H17)</f>
        <v>26200</v>
      </c>
      <c r="I18" s="13"/>
      <c r="J18" s="379" t="s">
        <v>136</v>
      </c>
      <c r="K18" s="169"/>
      <c r="L18" s="169"/>
      <c r="M18" s="169"/>
      <c r="N18" s="119">
        <f>SUM(N10:N17)</f>
        <v>8750</v>
      </c>
      <c r="O18" s="13"/>
      <c r="P18" s="414" t="s">
        <v>25</v>
      </c>
      <c r="Q18" s="415"/>
      <c r="R18" s="120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437" t="s">
        <v>26</v>
      </c>
      <c r="C20" s="438"/>
      <c r="D20" s="238"/>
      <c r="E20" s="23" t="s">
        <v>9</v>
      </c>
      <c r="F20" s="439"/>
      <c r="G20" s="438"/>
      <c r="H20" s="238"/>
      <c r="I20" s="6"/>
      <c r="J20" s="424" t="s">
        <v>26</v>
      </c>
      <c r="K20" s="326"/>
      <c r="L20" s="34" t="s">
        <v>9</v>
      </c>
      <c r="M20" s="424" t="s">
        <v>27</v>
      </c>
      <c r="N20" s="326"/>
      <c r="O20" s="6"/>
      <c r="P20" s="324" t="s">
        <v>28</v>
      </c>
      <c r="Q20" s="325"/>
      <c r="R20" s="32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40" t="s">
        <v>137</v>
      </c>
      <c r="C21" s="328"/>
      <c r="D21" s="228"/>
      <c r="E21" s="239">
        <f>COUNT(B10:B17)</f>
        <v>4</v>
      </c>
      <c r="F21" s="442" t="s">
        <v>138</v>
      </c>
      <c r="G21" s="328"/>
      <c r="H21" s="236"/>
      <c r="I21" s="19"/>
      <c r="J21" s="403" t="s">
        <v>139</v>
      </c>
      <c r="K21" s="228"/>
      <c r="L21" s="248">
        <f>COUNT(J10:J16)</f>
        <v>4</v>
      </c>
      <c r="M21" s="425" t="s">
        <v>140</v>
      </c>
      <c r="N21" s="236"/>
      <c r="O21" s="19"/>
      <c r="P21" s="327"/>
      <c r="Q21" s="328"/>
      <c r="R21" s="23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29"/>
      <c r="C22" s="329"/>
      <c r="D22" s="230"/>
      <c r="E22" s="240"/>
      <c r="F22" s="410"/>
      <c r="G22" s="214"/>
      <c r="H22" s="178"/>
      <c r="I22" s="19"/>
      <c r="J22" s="229"/>
      <c r="K22" s="230"/>
      <c r="L22" s="240"/>
      <c r="M22" s="242"/>
      <c r="N22" s="178"/>
      <c r="O22" s="19"/>
      <c r="P22" s="229"/>
      <c r="Q22" s="329"/>
      <c r="R22" s="244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406" t="s">
        <v>141</v>
      </c>
      <c r="C23" s="328"/>
      <c r="D23" s="228"/>
      <c r="E23" s="246">
        <f>SUM(G10:G17)</f>
        <v>400</v>
      </c>
      <c r="F23" s="410"/>
      <c r="G23" s="214"/>
      <c r="H23" s="178"/>
      <c r="I23" s="19"/>
      <c r="J23" s="427" t="s">
        <v>142</v>
      </c>
      <c r="K23" s="228"/>
      <c r="L23" s="246">
        <f>COUNT(K10:K16)</f>
        <v>4</v>
      </c>
      <c r="M23" s="242"/>
      <c r="N23" s="178"/>
      <c r="O23" s="19"/>
      <c r="P23" s="340"/>
      <c r="Q23" s="328"/>
      <c r="R23" s="23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29"/>
      <c r="C24" s="329"/>
      <c r="D24" s="230"/>
      <c r="E24" s="240"/>
      <c r="F24" s="411"/>
      <c r="G24" s="329"/>
      <c r="H24" s="244"/>
      <c r="I24" s="19"/>
      <c r="J24" s="229"/>
      <c r="K24" s="230"/>
      <c r="L24" s="240"/>
      <c r="M24" s="243"/>
      <c r="N24" s="244"/>
      <c r="O24" s="19"/>
      <c r="P24" s="229"/>
      <c r="Q24" s="329"/>
      <c r="R24" s="244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407"/>
      <c r="C25" s="328"/>
      <c r="D25" s="228"/>
      <c r="E25" s="408"/>
      <c r="F25" s="409" t="s">
        <v>143</v>
      </c>
      <c r="G25" s="328"/>
      <c r="H25" s="236"/>
      <c r="I25" s="20"/>
      <c r="J25" s="403" t="s">
        <v>122</v>
      </c>
      <c r="K25" s="228"/>
      <c r="L25" s="248">
        <f>COUNT(L10:L16)</f>
        <v>4</v>
      </c>
      <c r="M25" s="426" t="s">
        <v>144</v>
      </c>
      <c r="N25" s="328"/>
      <c r="O25" s="20"/>
      <c r="P25" s="341"/>
      <c r="Q25" s="328"/>
      <c r="R25" s="236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29"/>
      <c r="C26" s="329"/>
      <c r="D26" s="230"/>
      <c r="E26" s="240"/>
      <c r="F26" s="410"/>
      <c r="G26" s="214"/>
      <c r="H26" s="178"/>
      <c r="I26" s="20"/>
      <c r="J26" s="229"/>
      <c r="K26" s="230"/>
      <c r="L26" s="240"/>
      <c r="M26" s="214"/>
      <c r="N26" s="214"/>
      <c r="O26" s="20"/>
      <c r="P26" s="229"/>
      <c r="Q26" s="329"/>
      <c r="R26" s="244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407"/>
      <c r="C27" s="328"/>
      <c r="D27" s="228"/>
      <c r="E27" s="404"/>
      <c r="F27" s="410"/>
      <c r="G27" s="214"/>
      <c r="H27" s="178"/>
      <c r="I27" s="20"/>
      <c r="J27" s="427" t="s">
        <v>145</v>
      </c>
      <c r="K27" s="228"/>
      <c r="L27" s="345">
        <f>COUNT(M10:M16)</f>
        <v>1</v>
      </c>
      <c r="M27" s="214"/>
      <c r="N27" s="214"/>
      <c r="O27" s="20"/>
      <c r="P27" s="342"/>
      <c r="Q27" s="328"/>
      <c r="R27" s="236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29"/>
      <c r="C28" s="329"/>
      <c r="D28" s="230"/>
      <c r="E28" s="240"/>
      <c r="F28" s="411"/>
      <c r="G28" s="329"/>
      <c r="H28" s="244"/>
      <c r="I28" s="36"/>
      <c r="J28" s="229"/>
      <c r="K28" s="230"/>
      <c r="L28" s="240"/>
      <c r="M28" s="214"/>
      <c r="N28" s="214"/>
      <c r="O28" s="20"/>
      <c r="P28" s="229"/>
      <c r="Q28" s="329"/>
      <c r="R28" s="244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407"/>
      <c r="C29" s="328"/>
      <c r="D29" s="228"/>
      <c r="E29" s="404"/>
      <c r="F29" s="405" t="s">
        <v>146</v>
      </c>
      <c r="G29" s="363"/>
      <c r="H29" s="364"/>
      <c r="I29" s="36"/>
      <c r="J29" s="403" t="s">
        <v>147</v>
      </c>
      <c r="K29" s="228"/>
      <c r="L29" s="248">
        <v>0</v>
      </c>
      <c r="M29" s="214"/>
      <c r="N29" s="214"/>
      <c r="O29" s="36"/>
      <c r="P29" s="341"/>
      <c r="Q29" s="328"/>
      <c r="R29" s="236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68"/>
      <c r="C30" s="169"/>
      <c r="D30" s="247"/>
      <c r="E30" s="249"/>
      <c r="F30" s="370"/>
      <c r="G30" s="169"/>
      <c r="H30" s="170"/>
      <c r="I30" s="36"/>
      <c r="J30" s="168"/>
      <c r="K30" s="247"/>
      <c r="L30" s="249"/>
      <c r="M30" s="169"/>
      <c r="N30" s="169"/>
      <c r="O30" s="36"/>
      <c r="P30" s="168"/>
      <c r="Q30" s="169"/>
      <c r="R30" s="170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34"/>
      <c r="C32" s="214"/>
      <c r="D32" s="214"/>
      <c r="E32" s="214"/>
      <c r="F32" s="214"/>
      <c r="G32" s="214"/>
      <c r="H32" s="214"/>
      <c r="I32" s="214"/>
      <c r="J32" s="214"/>
      <c r="K32" s="214"/>
      <c r="L32" s="214"/>
      <c r="M32" s="214"/>
      <c r="N32" s="214"/>
      <c r="O32" s="214"/>
      <c r="P32" s="214"/>
      <c r="Q32" s="214"/>
      <c r="R32" s="214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2025-12-10T14:39:48Z</dcterms:modified>
</cp:coreProperties>
</file>