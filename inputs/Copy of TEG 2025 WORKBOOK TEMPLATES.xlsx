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stevao Cavalcante\Documents\ApplyGPT\TEG_Monday_Dashboard\inputs\"/>
    </mc:Choice>
  </mc:AlternateContent>
  <xr:revisionPtr revIDLastSave="0" documentId="13_ncr:1_{ED79F507-8484-4BA5-879F-BD11A34E785E}" xr6:coauthVersionLast="47" xr6:coauthVersionMax="47" xr10:uidLastSave="{00000000-0000-0000-0000-000000000000}"/>
  <bookViews>
    <workbookView xWindow="-24120" yWindow="-1200" windowWidth="24240" windowHeight="13290" xr2:uid="{00000000-000D-0000-FFFF-FFFF00000000}"/>
  </bookViews>
  <sheets>
    <sheet name="DEVELOPMENT ONLY" sheetId="1" r:id="rId1"/>
    <sheet name="ACTIVEWEAR DEVELOPMENT" sheetId="2" r:id="rId2"/>
    <sheet name="DEV &amp; INSPECTION" sheetId="3" r:id="rId3"/>
    <sheet name="INSPECTION ONLY" sheetId="4" r:id="rId4"/>
    <sheet name="ADDITIONAL SAMPLES" sheetId="5" r:id="rId5"/>
    <sheet name="A LA CARTE" sheetId="6" r:id="rId6"/>
    <sheet name="PRODUCTION" sheetId="7" r:id="rId7"/>
    <sheet name="BLANK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Ju0UC2uPjmrpeDUB+xcHMHxaX0Uk0hUzpmdN4bYxToY="/>
    </ext>
  </extLst>
</workbook>
</file>

<file path=xl/calcChain.xml><?xml version="1.0" encoding="utf-8"?>
<calcChain xmlns="http://schemas.openxmlformats.org/spreadsheetml/2006/main">
  <c r="D23" i="1" l="1"/>
  <c r="D25" i="1"/>
  <c r="D29" i="1"/>
  <c r="L27" i="8"/>
  <c r="L25" i="8"/>
  <c r="L23" i="8"/>
  <c r="E23" i="8"/>
  <c r="L21" i="8"/>
  <c r="E21" i="8"/>
  <c r="N16" i="8"/>
  <c r="H16" i="8"/>
  <c r="N14" i="8"/>
  <c r="H14" i="8"/>
  <c r="N12" i="8"/>
  <c r="H12" i="8"/>
  <c r="N10" i="8"/>
  <c r="N18" i="8" s="1"/>
  <c r="R14" i="8" s="1"/>
  <c r="H10" i="8"/>
  <c r="H18" i="8" s="1"/>
  <c r="R10" i="8" s="1"/>
  <c r="R6" i="8"/>
  <c r="C32" i="7"/>
  <c r="C28" i="7"/>
  <c r="M23" i="7"/>
  <c r="E22" i="7"/>
  <c r="B22" i="7"/>
  <c r="E21" i="7"/>
  <c r="E23" i="7" s="1"/>
  <c r="C36" i="7" s="1"/>
  <c r="B21" i="7"/>
  <c r="C12" i="7"/>
  <c r="Q11" i="7"/>
  <c r="Q12" i="7" s="1"/>
  <c r="C31" i="7" s="1"/>
  <c r="M11" i="7"/>
  <c r="M12" i="7" s="1"/>
  <c r="C30" i="7" s="1"/>
  <c r="H11" i="7"/>
  <c r="H12" i="7" s="1"/>
  <c r="C29" i="7" s="1"/>
  <c r="Q10" i="7"/>
  <c r="B2" i="7"/>
  <c r="E25" i="6"/>
  <c r="O23" i="6"/>
  <c r="O21" i="6"/>
  <c r="O19" i="6"/>
  <c r="E19" i="6"/>
  <c r="O17" i="6"/>
  <c r="E17" i="6"/>
  <c r="Q12" i="6"/>
  <c r="K12" i="6"/>
  <c r="F12" i="6"/>
  <c r="Q10" i="6"/>
  <c r="Q14" i="6" s="1"/>
  <c r="U12" i="6" s="1"/>
  <c r="H10" i="6"/>
  <c r="F10" i="6"/>
  <c r="I10" i="6" s="1"/>
  <c r="K10" i="6" s="1"/>
  <c r="K14" i="6" s="1"/>
  <c r="U10" i="6" s="1"/>
  <c r="E10" i="6"/>
  <c r="U6" i="6"/>
  <c r="J12" i="5"/>
  <c r="H12" i="5"/>
  <c r="H10" i="5"/>
  <c r="J10" i="5" s="1"/>
  <c r="J14" i="5" s="1"/>
  <c r="N10" i="5" s="1"/>
  <c r="N14" i="5" s="1"/>
  <c r="N6" i="5"/>
  <c r="E25" i="4"/>
  <c r="M23" i="4"/>
  <c r="M21" i="4"/>
  <c r="M19" i="4"/>
  <c r="E19" i="4"/>
  <c r="M17" i="4"/>
  <c r="E17" i="4"/>
  <c r="O12" i="4"/>
  <c r="I12" i="4"/>
  <c r="O10" i="4"/>
  <c r="O14" i="4" s="1"/>
  <c r="S12" i="4" s="1"/>
  <c r="I10" i="4"/>
  <c r="I14" i="4" s="1"/>
  <c r="S10" i="4" s="1"/>
  <c r="S6" i="4"/>
  <c r="U25" i="3"/>
  <c r="U23" i="3"/>
  <c r="U21" i="3"/>
  <c r="U19" i="3"/>
  <c r="W16" i="3"/>
  <c r="AA14" i="3"/>
  <c r="W14" i="3"/>
  <c r="W12" i="3"/>
  <c r="K12" i="3"/>
  <c r="Q12" i="3" s="1"/>
  <c r="Q16" i="3" s="1"/>
  <c r="AA12" i="3" s="1"/>
  <c r="W10" i="3"/>
  <c r="F10" i="3"/>
  <c r="F16" i="3" s="1"/>
  <c r="AA10" i="3" s="1"/>
  <c r="AA16" i="3" s="1"/>
  <c r="AA6" i="3"/>
  <c r="D25" i="2"/>
  <c r="J23" i="2"/>
  <c r="J21" i="2"/>
  <c r="J19" i="2"/>
  <c r="D19" i="2"/>
  <c r="J17" i="2"/>
  <c r="D17" i="2"/>
  <c r="L12" i="2"/>
  <c r="F12" i="2"/>
  <c r="L10" i="2"/>
  <c r="L14" i="2" s="1"/>
  <c r="P12" i="2" s="1"/>
  <c r="F10" i="2"/>
  <c r="F14" i="2" s="1"/>
  <c r="P10" i="2" s="1"/>
  <c r="P6" i="2"/>
  <c r="D31" i="1"/>
  <c r="J29" i="1"/>
  <c r="J27" i="1"/>
  <c r="J25" i="1"/>
  <c r="J23" i="1"/>
  <c r="L18" i="1"/>
  <c r="F18" i="1"/>
  <c r="L16" i="1"/>
  <c r="F16" i="1"/>
  <c r="L14" i="1"/>
  <c r="F14" i="1"/>
  <c r="L12" i="1"/>
  <c r="F12" i="1"/>
  <c r="L10" i="1"/>
  <c r="F10" i="1"/>
  <c r="P6" i="1"/>
  <c r="L20" i="1" l="1"/>
  <c r="P12" i="1" s="1"/>
  <c r="F20" i="1"/>
  <c r="P10" i="1" s="1"/>
  <c r="R18" i="8"/>
  <c r="C37" i="7"/>
  <c r="P14" i="2"/>
  <c r="S14" i="4"/>
  <c r="C33" i="7"/>
  <c r="C39" i="7" s="1"/>
  <c r="U14" i="6"/>
  <c r="P20" i="1" l="1"/>
  <c r="C41" i="7"/>
</calcChain>
</file>

<file path=xl/sharedStrings.xml><?xml version="1.0" encoding="utf-8"?>
<sst xmlns="http://schemas.openxmlformats.org/spreadsheetml/2006/main" count="440" uniqueCount="162">
  <si>
    <t>TEGMADE, JUST FOR</t>
  </si>
  <si>
    <t>JAMIE</t>
  </si>
  <si>
    <t>CLIENT EMAIL</t>
  </si>
  <si>
    <t>REPRESENTATIVE</t>
  </si>
  <si>
    <t xml:space="preserve"> THEA</t>
  </si>
  <si>
    <t>DATE</t>
  </si>
  <si>
    <t>DEVELOPMENT PACKAGE</t>
  </si>
  <si>
    <t>OPTIONAL ADD-ONS</t>
  </si>
  <si>
    <t>CONTRACT TOTALS</t>
  </si>
  <si>
    <t>#</t>
  </si>
  <si>
    <t>STYLE</t>
  </si>
  <si>
    <t>BASE PRICE</t>
  </si>
  <si>
    <t>COMPLEXITY</t>
  </si>
  <si>
    <t>TOTAL</t>
  </si>
  <si>
    <t>WASH/DYE</t>
  </si>
  <si>
    <t>DESIGN</t>
  </si>
  <si>
    <t>SOURCING</t>
  </si>
  <si>
    <t>TREATMENT</t>
  </si>
  <si>
    <t>DRESS</t>
  </si>
  <si>
    <t>TOTAL DEVELOPMENT</t>
  </si>
  <si>
    <t>JACKET</t>
  </si>
  <si>
    <t>TOTAL OPTIONAL ADD-ONS</t>
  </si>
  <si>
    <t>T-SHIRT</t>
  </si>
  <si>
    <t>SKIRT</t>
  </si>
  <si>
    <t>LS SHIRT</t>
  </si>
  <si>
    <t>TOTAL DUE AT SIGNING</t>
  </si>
  <si>
    <t>DELIVERABLES</t>
  </si>
  <si>
    <t>NOTES</t>
  </si>
  <si>
    <t>PROJECT  NOTES</t>
  </si>
  <si>
    <t xml:space="preserve">PATTERNS </t>
  </si>
  <si>
    <t>**DESIGNS ARE REVIEWED FOR COMPLEXITIES BY PATTERN-MAKER, SURCHARGE APPLIES</t>
  </si>
  <si>
    <t>WASH/TREATMENT</t>
  </si>
  <si>
    <t xml:space="preserve">**VENDORS (MATERIALS/TREATMENTS) ARE PAID SEPARATELY BY CLIENT                                </t>
  </si>
  <si>
    <t>TREATMENT = EMBROIDERY</t>
  </si>
  <si>
    <t>FIRST SAMPLES</t>
  </si>
  <si>
    <t>ROUND OF FITTINGS</t>
  </si>
  <si>
    <t>**DEVELOPMENT DOES NOT INCLUDE: GRADING, MARKING, FABRIC OR TRIM COSTS, TREATMENTS, SHIPPING, OR BULK PRODUCTION INVENTORY</t>
  </si>
  <si>
    <t xml:space="preserve">**SOURCING ASSUMES MATERIALS ARE SHARED (IF ANY), CHANGES DURING THE PROCESS, WILL INCUR ADDITIONAL BILLING, TBD BY HOURS NEEDED </t>
  </si>
  <si>
    <t>ROUND OF REVISIONS</t>
  </si>
  <si>
    <t>FINAL SAMPLES</t>
  </si>
  <si>
    <t>MARKETING</t>
  </si>
  <si>
    <t>CLIENT NAME</t>
  </si>
  <si>
    <t xml:space="preserve"> BRIAN DINH</t>
  </si>
  <si>
    <t>LEGGING</t>
  </si>
  <si>
    <t>SPORTS BRA</t>
  </si>
  <si>
    <t>NOTES ABOUT THE PROJECT</t>
  </si>
  <si>
    <t>emily@azimuth.partners</t>
  </si>
  <si>
    <t>PHONE NUMBER</t>
  </si>
  <si>
    <t>(518) 424-1674</t>
  </si>
  <si>
    <t>GABRIELA</t>
  </si>
  <si>
    <t>INSPECTION &amp; DUPLICATE PACKAGE</t>
  </si>
  <si>
    <t>INTAKE</t>
  </si>
  <si>
    <t>INSPECTION</t>
  </si>
  <si>
    <t>FITTING</t>
  </si>
  <si>
    <t>1ST SAMPLE</t>
  </si>
  <si>
    <t>REVISIONS</t>
  </si>
  <si>
    <t>2ND SAMPLE</t>
  </si>
  <si>
    <t>COSTING</t>
  </si>
  <si>
    <t>TBD</t>
  </si>
  <si>
    <t>TOTAL INSPECTION &amp; DUPLICATE</t>
  </si>
  <si>
    <t>INTAKE SESSION</t>
  </si>
  <si>
    <t>** PATTERN MAKER WILL DETERMINE PATTERN USABILITY, ANY ISSUES WILL BE NOTED AND INFORMED FOR ADDITIONAL STEPS, ADJUSTMENTS CAN BE BOOKED AT THE HOURLY RATE OF $190/HR</t>
  </si>
  <si>
    <t>PRODUCTION COSTING</t>
  </si>
  <si>
    <t>**UP TO 5 STYLES-CREDITED TOWARDS PRODUCTION</t>
  </si>
  <si>
    <t>**FABRIC &amp; TRIMS WILL BE SUPPLIED BY CUSTOMER</t>
  </si>
  <si>
    <t>**INSPECTION DOES NOT INCLUDE: GRADING, MARKING, FABRIC OR TRIM COSTS, FITTINGS OR REVISIONS, TREATMENTS, SHIPPING, OR BULK PRODUCTION INVENTORY</t>
  </si>
  <si>
    <t>**ADDITIONAL FITTINGS ARE NOT INCLUDED. CAN BE BILLED SEPARATELY AT $190/HR</t>
  </si>
  <si>
    <t>ADJUSTMENT</t>
  </si>
  <si>
    <t>SAMPLE</t>
  </si>
  <si>
    <t>PLANNING</t>
  </si>
  <si>
    <t>**COMPLEXITIES OBSERVED BY PATTERN MAKER, SURCHARGES APPLIES</t>
  </si>
  <si>
    <t>ADDITIONAL NEEDS</t>
  </si>
  <si>
    <t>SERVICE</t>
  </si>
  <si>
    <t>RATE</t>
  </si>
  <si>
    <t>SAMPLES</t>
  </si>
  <si>
    <t>RUSH FEE</t>
  </si>
  <si>
    <t>TOP</t>
  </si>
  <si>
    <t>TOTAL ADDITIONAL SAMPLES</t>
  </si>
  <si>
    <t>MARKER PRINT-OUT</t>
  </si>
  <si>
    <t>A LA CARTE PACKAGE</t>
  </si>
  <si>
    <t>PATTERN</t>
  </si>
  <si>
    <t>FINAL SAMPLE</t>
  </si>
  <si>
    <t>WEDDING GOWN</t>
  </si>
  <si>
    <t>TOTAL A LA CARTE</t>
  </si>
  <si>
    <t>A LA CARTE BREAKDOWN</t>
  </si>
  <si>
    <t>INTAKE $190/HR</t>
  </si>
  <si>
    <t>PATTERN $190/HR</t>
  </si>
  <si>
    <t>FITTING $190/HR</t>
  </si>
  <si>
    <t xml:space="preserve">**DEVELOPMENT DOES NOT INCLUDE: GRADING, MARKING, FABRIC OR TRIM COSTS, TREATMENTS, SHIPPING, OR BULK PRODUCTION INVENTORY	
</t>
  </si>
  <si>
    <t>ROUND OF ADJUSTMENTS</t>
  </si>
  <si>
    <t>ADJUSTMENT $190/HR</t>
  </si>
  <si>
    <t>SAMPLE $450/PER</t>
  </si>
  <si>
    <t>CLIENT</t>
  </si>
  <si>
    <t>LABEL:</t>
  </si>
  <si>
    <t>PRE-PRODUCTION</t>
  </si>
  <si>
    <t>SIZES OFFERED:</t>
  </si>
  <si>
    <t>ONE SIZE</t>
  </si>
  <si>
    <t>RATES</t>
  </si>
  <si>
    <t>DESCRIPTION</t>
  </si>
  <si>
    <t>MANAGEMENT</t>
  </si>
  <si>
    <t>GRADING</t>
  </si>
  <si>
    <t># OF SIZES</t>
  </si>
  <si>
    <t>MARKING</t>
  </si>
  <si>
    <t>CUTTING</t>
  </si>
  <si>
    <t>CUTTING COMPLEXITY %</t>
  </si>
  <si>
    <t xml:space="preserve"> TOTAL </t>
  </si>
  <si>
    <t>JEAN</t>
  </si>
  <si>
    <t>TOTAL MANAGEMENT</t>
  </si>
  <si>
    <t>TOTAL GRADING</t>
  </si>
  <si>
    <t>TOTAL MARKER</t>
  </si>
  <si>
    <t>TOTAL CUTTING</t>
  </si>
  <si>
    <t>* THERE IS A $180/STYLE GRADING MINIMUM ON NEW ORDERS</t>
  </si>
  <si>
    <t>* IF FABRIC REQUIRES PRINT-MATCHING, CUTTING INDIVIDUALLY, SEQUIN OR TEXTURED FABRIC, ETC., A SURCHARGE WILL ACCRUE FOR CUTTING SERVICES</t>
  </si>
  <si>
    <t>SEWING ONLY</t>
  </si>
  <si>
    <t>SOURCING REFRESH</t>
  </si>
  <si>
    <t>QUANTITY</t>
  </si>
  <si>
    <t>COLORWAYS</t>
  </si>
  <si>
    <t>#1</t>
  </si>
  <si>
    <t>#2</t>
  </si>
  <si>
    <t>TOTAL SEWING ONLY</t>
  </si>
  <si>
    <t>TOTAL SOURCING REFRESH</t>
  </si>
  <si>
    <t>PRODUCTION CONTRACT TOTALS</t>
  </si>
  <si>
    <t>*ONE TIME FEE</t>
  </si>
  <si>
    <t>TOTAL MARKERS</t>
  </si>
  <si>
    <t>TOTAL PRE-PRODUCTION</t>
  </si>
  <si>
    <t>PRODUCTION SEWING</t>
  </si>
  <si>
    <t xml:space="preserve">50% DEPOSIT </t>
  </si>
  <si>
    <t>50% COD</t>
  </si>
  <si>
    <t xml:space="preserve">TOTAL CONTRACT AMOUNT </t>
  </si>
  <si>
    <t>PRODUCTION</t>
  </si>
  <si>
    <t>PRE-PRODUCTION &amp; OPTIONAL ADD-ONS</t>
  </si>
  <si>
    <t>CATEGORY</t>
  </si>
  <si>
    <t>PRICE PER</t>
  </si>
  <si>
    <t>UNITS</t>
  </si>
  <si>
    <t xml:space="preserve"> APPROVED SAMPLE</t>
  </si>
  <si>
    <t>PRODUCTION MANAGEMENT</t>
  </si>
  <si>
    <t xml:space="preserve">LABEL DESIGN </t>
  </si>
  <si>
    <t>TEG-LW-004</t>
  </si>
  <si>
    <t>LOUNGEWEAR WOMEN'S</t>
  </si>
  <si>
    <t xml:space="preserve"> WOVEN CAMISOLE </t>
  </si>
  <si>
    <t>TOTAL PRODUCTION</t>
  </si>
  <si>
    <t>TEG-LW-005K</t>
  </si>
  <si>
    <t xml:space="preserve">KNIT LOUNGE SHORT </t>
  </si>
  <si>
    <t>TEG-SW-004</t>
  </si>
  <si>
    <t>STREETWEAR - CLASSICS</t>
  </si>
  <si>
    <t>SHORT SLEEVE TEE</t>
  </si>
  <si>
    <t>TOTAL PRE-PRODUCTION &amp; OPTIONAL ADD-ONS</t>
  </si>
  <si>
    <t>TEG-SW-001</t>
  </si>
  <si>
    <t xml:space="preserve">CREW NECK SWEATSHIRT </t>
  </si>
  <si>
    <t>TOTAL PRE-PRODUCTION &amp;  OPTIONAL ADD-ONS</t>
  </si>
  <si>
    <t>STYLES</t>
  </si>
  <si>
    <t>*PRODUCTION PRICING REFLECTS, FABRIC COSTS, SEWING COSTS, AND FINISHING COSTS</t>
  </si>
  <si>
    <t>APPROVED SAMPLE</t>
  </si>
  <si>
    <t>*CUSTOM SOURCING CAN BE REQUESTED AT $1295.00</t>
  </si>
  <si>
    <t>PRODUCTION UNITS</t>
  </si>
  <si>
    <t>CUTTING FOR EACH STYLE</t>
  </si>
  <si>
    <t xml:space="preserve"> *PRODUCTION IS CONTRACTED AT 8-12 WEEKS AFTER TOP SAMPLE IS APPROVED</t>
  </si>
  <si>
    <t>*LABEL DESIGN, DOES NOT INCLUDE PRICE OF THE LABELS</t>
  </si>
  <si>
    <t>LABEL DESIGN</t>
  </si>
  <si>
    <t>*PRODUCTION CAN BE DIVIDED INTO ALL SIZES &amp; 2 COLORS</t>
  </si>
  <si>
    <t>CUSTOM SOURCING</t>
  </si>
  <si>
    <t>DISCOUNT (20%)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</si>
</sst>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"/>
    <numFmt numFmtId="165" formatCode="_-&quot;$&quot;* #,##0.00_-;\-&quot;$&quot;* #,##0.00_-;_-&quot;$&quot;* &quot;-&quot;??_-;_-@"/>
    <numFmt numFmtId="166" formatCode="_(&quot;$&quot;* #,##0.00_);_(&quot;$&quot;* \(#,##0.00\);_(&quot;$&quot;* &quot;-&quot;??_);_(@_)"/>
    <numFmt numFmtId="167" formatCode="&quot;$&quot;#,##0.00_);[Red]\(&quot;$&quot;#,##0.00\)"/>
    <numFmt numFmtId="168" formatCode="&quot;$&quot;#,##0_);[Red]\(&quot;$&quot;#,##0\)"/>
    <numFmt numFmtId="169" formatCode="_(&quot;$&quot;* #,##0_);_(&quot;$&quot;* \(#,##0\);_(&quot;$&quot;* &quot;-&quot;??_);_(@_)"/>
  </numFmts>
  <fonts count="52">
    <font>
      <sz val="10"/>
      <color rgb="FF000000"/>
      <name val="Arial"/>
      <scheme val="minor"/>
    </font>
    <font>
      <sz val="10"/>
      <color theme="1"/>
      <name val="Schibsted Grotesk"/>
    </font>
    <font>
      <b/>
      <sz val="48"/>
      <color theme="1"/>
      <name val="Schibsted Grotesk"/>
    </font>
    <font>
      <b/>
      <sz val="48"/>
      <color rgb="FFC9A57A"/>
      <name val="Schibsted Grotesk"/>
    </font>
    <font>
      <b/>
      <sz val="20"/>
      <color theme="1"/>
      <name val="Schibsted Grotesk"/>
    </font>
    <font>
      <sz val="10"/>
      <name val="Arial"/>
    </font>
    <font>
      <u/>
      <sz val="20"/>
      <color theme="10"/>
      <name val="Arial"/>
    </font>
    <font>
      <sz val="14"/>
      <color theme="1"/>
      <name val="Schibsted Grotesk"/>
    </font>
    <font>
      <sz val="20"/>
      <color theme="1"/>
      <name val="Arial"/>
    </font>
    <font>
      <sz val="20"/>
      <color theme="1"/>
      <name val="Schibsted Grotesk"/>
    </font>
    <font>
      <sz val="19"/>
      <color theme="1"/>
      <name val="Arial"/>
    </font>
    <font>
      <sz val="10"/>
      <color theme="1"/>
      <name val="Arial"/>
    </font>
    <font>
      <b/>
      <sz val="20"/>
      <color theme="1"/>
      <name val="Arial"/>
    </font>
    <font>
      <b/>
      <sz val="8"/>
      <color theme="1"/>
      <name val="Schibsted Grotesk"/>
    </font>
    <font>
      <sz val="10"/>
      <color rgb="FF000000"/>
      <name val="Arial"/>
    </font>
    <font>
      <b/>
      <sz val="48"/>
      <color rgb="FFC9A479"/>
      <name val="Schibsted Grotesk"/>
    </font>
    <font>
      <sz val="24"/>
      <color rgb="FF1155CC"/>
      <name val="Arial"/>
    </font>
    <font>
      <u/>
      <sz val="20"/>
      <color theme="10"/>
      <name val="Arial"/>
    </font>
    <font>
      <u/>
      <sz val="20"/>
      <color rgb="FF1155CC"/>
      <name val="Arial"/>
    </font>
    <font>
      <u/>
      <sz val="14"/>
      <color theme="10"/>
      <name val="Arial"/>
    </font>
    <font>
      <sz val="14"/>
      <color theme="1"/>
      <name val="Arial"/>
    </font>
    <font>
      <sz val="10"/>
      <color theme="1"/>
      <name val="Arial"/>
    </font>
    <font>
      <sz val="16"/>
      <color theme="1"/>
      <name val="Arial"/>
    </font>
    <font>
      <u/>
      <sz val="14"/>
      <color theme="10"/>
      <name val="Arial"/>
    </font>
    <font>
      <sz val="20"/>
      <color theme="4"/>
      <name val="Arial"/>
    </font>
    <font>
      <b/>
      <sz val="14"/>
      <color theme="1"/>
      <name val="Schibsted Grotesk"/>
    </font>
    <font>
      <u/>
      <sz val="14"/>
      <color theme="10"/>
      <name val="Arial"/>
    </font>
    <font>
      <b/>
      <sz val="16"/>
      <color theme="1"/>
      <name val="Schibsted Grotesk"/>
    </font>
    <font>
      <sz val="16"/>
      <color theme="1"/>
      <name val="Schibsted Grotesk"/>
    </font>
    <font>
      <b/>
      <sz val="12"/>
      <color theme="1"/>
      <name val="Arial"/>
    </font>
    <font>
      <sz val="12"/>
      <color rgb="FF000000"/>
      <name val="Arial"/>
    </font>
    <font>
      <sz val="11"/>
      <color rgb="FF000000"/>
      <name val="Arial"/>
    </font>
    <font>
      <b/>
      <sz val="11"/>
      <color theme="1"/>
      <name val="Arial"/>
    </font>
    <font>
      <b/>
      <u/>
      <sz val="11"/>
      <color theme="1"/>
      <name val="Arial"/>
    </font>
    <font>
      <i/>
      <sz val="11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i/>
      <sz val="12"/>
      <color rgb="FF000000"/>
      <name val="Arial"/>
    </font>
    <font>
      <sz val="12"/>
      <color theme="1"/>
      <name val="Arial"/>
    </font>
    <font>
      <u/>
      <sz val="12"/>
      <color rgb="FF000000"/>
      <name val="Arial"/>
    </font>
    <font>
      <b/>
      <u/>
      <sz val="11"/>
      <color rgb="FF000000"/>
      <name val="Arial"/>
    </font>
    <font>
      <sz val="11"/>
      <color theme="1"/>
      <name val="Arial"/>
    </font>
    <font>
      <u/>
      <sz val="12"/>
      <color rgb="FF000000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2"/>
      <color rgb="FF000000"/>
      <name val="Arial"/>
    </font>
    <font>
      <u/>
      <sz val="11"/>
      <color rgb="FF000000"/>
      <name val="Arial"/>
    </font>
    <font>
      <i/>
      <sz val="11"/>
      <color theme="1"/>
      <name val="Arial"/>
    </font>
    <font>
      <b/>
      <u/>
      <sz val="12"/>
      <color theme="1"/>
      <name val="Arial"/>
    </font>
    <font>
      <b/>
      <u/>
      <sz val="12"/>
      <color theme="1"/>
      <name val="Arial"/>
    </font>
    <font>
      <b/>
      <sz val="11"/>
      <color rgb="FFF0F0EE"/>
      <name val="Arial"/>
    </font>
    <font>
      <sz val="11"/>
      <color rgb="FFF0F0EE"/>
      <name val="Arial"/>
    </font>
  </fonts>
  <fills count="20">
    <fill>
      <patternFill patternType="none"/>
    </fill>
    <fill>
      <patternFill patternType="gray125"/>
    </fill>
    <fill>
      <patternFill patternType="solid">
        <fgColor rgb="FFC9A479"/>
        <bgColor rgb="FFC9A479"/>
      </patternFill>
    </fill>
    <fill>
      <patternFill patternType="solid">
        <fgColor rgb="FF709171"/>
        <bgColor rgb="FF709171"/>
      </patternFill>
    </fill>
    <fill>
      <patternFill patternType="solid">
        <fgColor rgb="FFF0CFBB"/>
        <bgColor rgb="FFF0CFBB"/>
      </patternFill>
    </fill>
    <fill>
      <patternFill patternType="solid">
        <fgColor rgb="FFF0F0EE"/>
        <bgColor rgb="FFF0F0EE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5CFCB"/>
        <bgColor rgb="FFD5CFCB"/>
      </patternFill>
    </fill>
    <fill>
      <patternFill patternType="solid">
        <fgColor rgb="FFC9A57A"/>
        <bgColor rgb="FFC9A57A"/>
      </patternFill>
    </fill>
    <fill>
      <patternFill patternType="solid">
        <fgColor rgb="FFFFC499"/>
        <bgColor rgb="FFFFC499"/>
      </patternFill>
    </fill>
    <fill>
      <patternFill patternType="solid">
        <fgColor rgb="FF8FD7DC"/>
        <bgColor rgb="FF8FD7DC"/>
      </patternFill>
    </fill>
    <fill>
      <patternFill patternType="solid">
        <fgColor rgb="FFBFBFBF"/>
        <bgColor rgb="FFBFBFBF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0CFBB"/>
      </patternFill>
    </fill>
    <fill>
      <patternFill patternType="solid">
        <fgColor rgb="FFA07946"/>
        <bgColor indexed="64"/>
      </patternFill>
    </fill>
    <fill>
      <patternFill patternType="solid">
        <fgColor rgb="FFA07946"/>
        <bgColor rgb="FFF0F0EE"/>
      </patternFill>
    </fill>
  </fills>
  <borders count="8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7" fillId="0" borderId="0" xfId="0" applyFont="1"/>
    <xf numFmtId="0" fontId="4" fillId="2" borderId="5" xfId="0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9" fillId="0" borderId="0" xfId="0" applyFont="1"/>
    <xf numFmtId="0" fontId="9" fillId="5" borderId="5" xfId="0" applyFont="1" applyFill="1" applyBorder="1" applyAlignment="1">
      <alignment horizontal="left"/>
    </xf>
    <xf numFmtId="0" fontId="4" fillId="5" borderId="5" xfId="0" applyFont="1" applyFill="1" applyBorder="1" applyAlignment="1">
      <alignment horizontal="left"/>
    </xf>
    <xf numFmtId="0" fontId="4" fillId="5" borderId="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4" fillId="6" borderId="5" xfId="0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164" fontId="4" fillId="3" borderId="5" xfId="0" applyNumberFormat="1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left" vertical="center"/>
    </xf>
    <xf numFmtId="164" fontId="4" fillId="9" borderId="5" xfId="0" applyNumberFormat="1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11" fillId="0" borderId="0" xfId="0" applyFont="1"/>
    <xf numFmtId="0" fontId="11" fillId="0" borderId="14" xfId="0" applyFont="1" applyBorder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4" fillId="3" borderId="1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0" fontId="17" fillId="0" borderId="6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/>
    <xf numFmtId="0" fontId="11" fillId="0" borderId="0" xfId="0" applyFont="1" applyAlignment="1">
      <alignment horizontal="center" vertical="center"/>
    </xf>
    <xf numFmtId="164" fontId="4" fillId="10" borderId="5" xfId="0" applyNumberFormat="1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8" fillId="0" borderId="0" xfId="0" applyFont="1"/>
    <xf numFmtId="0" fontId="4" fillId="6" borderId="5" xfId="0" applyFont="1" applyFill="1" applyBorder="1" applyAlignment="1">
      <alignment horizontal="center"/>
    </xf>
    <xf numFmtId="164" fontId="4" fillId="3" borderId="5" xfId="0" applyNumberFormat="1" applyFont="1" applyFill="1" applyBorder="1" applyAlignment="1">
      <alignment horizontal="left" vertical="center"/>
    </xf>
    <xf numFmtId="164" fontId="4" fillId="9" borderId="5" xfId="0" applyNumberFormat="1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11" fillId="0" borderId="15" xfId="0" applyFont="1" applyBorder="1"/>
    <xf numFmtId="0" fontId="11" fillId="0" borderId="38" xfId="0" applyFont="1" applyBorder="1"/>
    <xf numFmtId="0" fontId="22" fillId="0" borderId="0" xfId="0" applyFont="1"/>
    <xf numFmtId="0" fontId="8" fillId="0" borderId="5" xfId="0" applyFont="1" applyBorder="1" applyAlignment="1">
      <alignment horizontal="left"/>
    </xf>
    <xf numFmtId="0" fontId="25" fillId="2" borderId="5" xfId="0" applyFont="1" applyFill="1" applyBorder="1" applyAlignment="1">
      <alignment horizontal="center" vertical="center"/>
    </xf>
    <xf numFmtId="14" fontId="25" fillId="0" borderId="5" xfId="0" applyNumberFormat="1" applyFont="1" applyBorder="1" applyAlignment="1">
      <alignment horizontal="center" vertical="center"/>
    </xf>
    <xf numFmtId="0" fontId="4" fillId="5" borderId="5" xfId="0" applyFont="1" applyFill="1" applyBorder="1"/>
    <xf numFmtId="0" fontId="9" fillId="6" borderId="39" xfId="0" applyFont="1" applyFill="1" applyBorder="1" applyAlignment="1">
      <alignment horizontal="center"/>
    </xf>
    <xf numFmtId="0" fontId="9" fillId="6" borderId="40" xfId="0" applyFont="1" applyFill="1" applyBorder="1" applyAlignment="1">
      <alignment horizontal="center"/>
    </xf>
    <xf numFmtId="0" fontId="4" fillId="6" borderId="41" xfId="0" applyFont="1" applyFill="1" applyBorder="1" applyAlignment="1">
      <alignment horizontal="center"/>
    </xf>
    <xf numFmtId="164" fontId="4" fillId="9" borderId="42" xfId="0" applyNumberFormat="1" applyFont="1" applyFill="1" applyBorder="1" applyAlignment="1">
      <alignment horizontal="center" vertical="center"/>
    </xf>
    <xf numFmtId="0" fontId="27" fillId="10" borderId="5" xfId="0" applyFont="1" applyFill="1" applyBorder="1" applyAlignment="1">
      <alignment horizontal="left" vertical="center"/>
    </xf>
    <xf numFmtId="0" fontId="28" fillId="0" borderId="0" xfId="0" applyFont="1"/>
    <xf numFmtId="0" fontId="27" fillId="4" borderId="5" xfId="0" applyFont="1" applyFill="1" applyBorder="1" applyAlignment="1">
      <alignment horizontal="left" vertical="center"/>
    </xf>
    <xf numFmtId="0" fontId="1" fillId="0" borderId="16" xfId="0" applyFont="1" applyBorder="1"/>
    <xf numFmtId="0" fontId="29" fillId="0" borderId="0" xfId="0" applyFont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4" fontId="30" fillId="0" borderId="6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65" fontId="31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0" fontId="35" fillId="11" borderId="5" xfId="0" applyFont="1" applyFill="1" applyBorder="1" applyAlignment="1">
      <alignment horizontal="center" vertical="center" wrapText="1"/>
    </xf>
    <xf numFmtId="0" fontId="36" fillId="8" borderId="43" xfId="0" applyFont="1" applyFill="1" applyBorder="1" applyAlignment="1">
      <alignment horizontal="center" vertical="center" wrapText="1"/>
    </xf>
    <xf numFmtId="0" fontId="29" fillId="11" borderId="5" xfId="0" applyFont="1" applyFill="1" applyBorder="1" applyAlignment="1">
      <alignment horizontal="center" vertical="center" wrapText="1"/>
    </xf>
    <xf numFmtId="165" fontId="35" fillId="11" borderId="5" xfId="0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0" fillId="8" borderId="5" xfId="0" applyFont="1" applyFill="1" applyBorder="1" applyAlignment="1">
      <alignment horizontal="center" vertical="center"/>
    </xf>
    <xf numFmtId="164" fontId="30" fillId="8" borderId="5" xfId="0" applyNumberFormat="1" applyFont="1" applyFill="1" applyBorder="1" applyAlignment="1">
      <alignment horizontal="center" vertical="center"/>
    </xf>
    <xf numFmtId="0" fontId="31" fillId="8" borderId="43" xfId="0" applyFont="1" applyFill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9" fontId="37" fillId="0" borderId="5" xfId="0" applyNumberFormat="1" applyFont="1" applyBorder="1" applyAlignment="1">
      <alignment horizontal="center" vertical="center"/>
    </xf>
    <xf numFmtId="164" fontId="38" fillId="0" borderId="5" xfId="0" applyNumberFormat="1" applyFont="1" applyBorder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9" fontId="37" fillId="8" borderId="5" xfId="0" applyNumberFormat="1" applyFont="1" applyFill="1" applyBorder="1" applyAlignment="1">
      <alignment horizontal="center" vertical="center"/>
    </xf>
    <xf numFmtId="164" fontId="30" fillId="0" borderId="5" xfId="0" applyNumberFormat="1" applyFont="1" applyBorder="1" applyAlignment="1">
      <alignment horizontal="center" vertical="center"/>
    </xf>
    <xf numFmtId="0" fontId="30" fillId="5" borderId="5" xfId="0" applyFont="1" applyFill="1" applyBorder="1" applyAlignment="1">
      <alignment horizontal="center" vertical="center"/>
    </xf>
    <xf numFmtId="164" fontId="30" fillId="5" borderId="5" xfId="0" applyNumberFormat="1" applyFont="1" applyFill="1" applyBorder="1" applyAlignment="1">
      <alignment horizontal="center" vertical="center"/>
    </xf>
    <xf numFmtId="9" fontId="37" fillId="5" borderId="5" xfId="0" applyNumberFormat="1" applyFont="1" applyFill="1" applyBorder="1" applyAlignment="1">
      <alignment horizontal="center" vertical="center"/>
    </xf>
    <xf numFmtId="164" fontId="38" fillId="5" borderId="5" xfId="0" applyNumberFormat="1" applyFont="1" applyFill="1" applyBorder="1" applyAlignment="1">
      <alignment horizontal="center" vertical="center"/>
    </xf>
    <xf numFmtId="164" fontId="39" fillId="9" borderId="5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5" fillId="11" borderId="5" xfId="0" applyFont="1" applyFill="1" applyBorder="1" applyAlignment="1">
      <alignment horizontal="center" vertical="center"/>
    </xf>
    <xf numFmtId="0" fontId="35" fillId="0" borderId="5" xfId="0" applyFont="1" applyBorder="1" applyAlignment="1">
      <alignment horizontal="center" vertical="center" wrapText="1"/>
    </xf>
    <xf numFmtId="0" fontId="32" fillId="0" borderId="0" xfId="0" applyFont="1" applyAlignment="1">
      <alignment vertical="center" wrapText="1"/>
    </xf>
    <xf numFmtId="0" fontId="32" fillId="0" borderId="0" xfId="0" applyFont="1" applyAlignment="1">
      <alignment horizontal="center" vertical="center" wrapText="1"/>
    </xf>
    <xf numFmtId="168" fontId="30" fillId="0" borderId="5" xfId="0" applyNumberFormat="1" applyFont="1" applyBorder="1" applyAlignment="1">
      <alignment horizontal="center" vertical="center"/>
    </xf>
    <xf numFmtId="168" fontId="41" fillId="0" borderId="0" xfId="0" applyNumberFormat="1" applyFont="1" applyAlignment="1">
      <alignment horizontal="center" vertical="center"/>
    </xf>
    <xf numFmtId="166" fontId="41" fillId="0" borderId="0" xfId="0" applyNumberFormat="1" applyFont="1" applyAlignment="1">
      <alignment horizontal="center" vertical="center"/>
    </xf>
    <xf numFmtId="165" fontId="42" fillId="9" borderId="44" xfId="0" applyNumberFormat="1" applyFont="1" applyFill="1" applyBorder="1" applyAlignment="1">
      <alignment horizontal="center" vertical="center"/>
    </xf>
    <xf numFmtId="166" fontId="30" fillId="0" borderId="45" xfId="0" applyNumberFormat="1" applyFont="1" applyBorder="1" applyAlignment="1">
      <alignment horizontal="center" vertical="center"/>
    </xf>
    <xf numFmtId="168" fontId="43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8" fontId="45" fillId="9" borderId="5" xfId="0" applyNumberFormat="1" applyFont="1" applyFill="1" applyBorder="1" applyAlignment="1">
      <alignment horizontal="center" vertical="center"/>
    </xf>
    <xf numFmtId="165" fontId="46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69" fontId="30" fillId="9" borderId="46" xfId="0" applyNumberFormat="1" applyFont="1" applyFill="1" applyBorder="1" applyAlignment="1">
      <alignment horizontal="center" vertical="center"/>
    </xf>
    <xf numFmtId="169" fontId="48" fillId="12" borderId="46" xfId="0" applyNumberFormat="1" applyFont="1" applyFill="1" applyBorder="1" applyAlignment="1">
      <alignment horizontal="center" vertical="center"/>
    </xf>
    <xf numFmtId="169" fontId="49" fillId="13" borderId="46" xfId="0" applyNumberFormat="1" applyFont="1" applyFill="1" applyBorder="1" applyAlignment="1">
      <alignment horizontal="center" vertical="center"/>
    </xf>
    <xf numFmtId="169" fontId="29" fillId="14" borderId="42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164" fontId="41" fillId="0" borderId="0" xfId="0" applyNumberFormat="1" applyFont="1" applyAlignment="1">
      <alignment vertical="center"/>
    </xf>
    <xf numFmtId="9" fontId="41" fillId="0" borderId="0" xfId="0" applyNumberFormat="1" applyFont="1" applyAlignment="1">
      <alignment vertical="center"/>
    </xf>
    <xf numFmtId="0" fontId="50" fillId="0" borderId="0" xfId="0" applyFont="1" applyAlignment="1">
      <alignment vertical="center"/>
    </xf>
    <xf numFmtId="164" fontId="51" fillId="0" borderId="0" xfId="0" applyNumberFormat="1" applyFont="1" applyAlignment="1">
      <alignment vertical="center"/>
    </xf>
    <xf numFmtId="164" fontId="32" fillId="0" borderId="0" xfId="0" applyNumberFormat="1" applyFont="1" applyAlignment="1">
      <alignment horizontal="center" vertical="center"/>
    </xf>
    <xf numFmtId="3" fontId="41" fillId="0" borderId="0" xfId="0" applyNumberFormat="1" applyFont="1" applyAlignment="1">
      <alignment vertical="center"/>
    </xf>
    <xf numFmtId="0" fontId="41" fillId="0" borderId="0" xfId="0" applyFont="1" applyAlignment="1">
      <alignment vertical="center" wrapText="1"/>
    </xf>
    <xf numFmtId="0" fontId="9" fillId="5" borderId="47" xfId="0" applyFont="1" applyFill="1" applyBorder="1" applyAlignment="1">
      <alignment horizontal="center"/>
    </xf>
    <xf numFmtId="0" fontId="4" fillId="5" borderId="48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50" xfId="0" applyFont="1" applyFill="1" applyBorder="1" applyAlignment="1">
      <alignment horizontal="center"/>
    </xf>
    <xf numFmtId="0" fontId="4" fillId="5" borderId="47" xfId="0" applyFont="1" applyFill="1" applyBorder="1" applyAlignment="1">
      <alignment horizontal="center"/>
    </xf>
    <xf numFmtId="0" fontId="9" fillId="6" borderId="51" xfId="0" applyFont="1" applyFill="1" applyBorder="1" applyAlignment="1">
      <alignment horizontal="center"/>
    </xf>
    <xf numFmtId="0" fontId="9" fillId="6" borderId="52" xfId="0" applyFont="1" applyFill="1" applyBorder="1" applyAlignment="1">
      <alignment horizontal="center"/>
    </xf>
    <xf numFmtId="0" fontId="4" fillId="6" borderId="53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164" fontId="4" fillId="3" borderId="68" xfId="0" applyNumberFormat="1" applyFont="1" applyFill="1" applyBorder="1" applyAlignment="1">
      <alignment horizontal="center" vertical="center"/>
    </xf>
    <xf numFmtId="164" fontId="4" fillId="4" borderId="68" xfId="0" applyNumberFormat="1" applyFont="1" applyFill="1" applyBorder="1" applyAlignment="1">
      <alignment horizontal="center" vertical="center"/>
    </xf>
    <xf numFmtId="164" fontId="4" fillId="9" borderId="68" xfId="0" applyNumberFormat="1" applyFont="1" applyFill="1" applyBorder="1" applyAlignment="1">
      <alignment horizontal="center" vertical="center"/>
    </xf>
    <xf numFmtId="0" fontId="5" fillId="0" borderId="77" xfId="0" applyFont="1" applyBorder="1"/>
    <xf numFmtId="0" fontId="11" fillId="0" borderId="77" xfId="0" applyFont="1" applyBorder="1"/>
    <xf numFmtId="0" fontId="4" fillId="8" borderId="8" xfId="0" applyFont="1" applyFill="1" applyBorder="1" applyAlignment="1">
      <alignment horizontal="left" vertical="center"/>
    </xf>
    <xf numFmtId="0" fontId="5" fillId="0" borderId="9" xfId="0" applyFont="1" applyBorder="1"/>
    <xf numFmtId="0" fontId="5" fillId="0" borderId="11" xfId="0" applyFont="1" applyBorder="1"/>
    <xf numFmtId="0" fontId="5" fillId="0" borderId="12" xfId="0" applyFont="1" applyBorder="1"/>
    <xf numFmtId="164" fontId="8" fillId="19" borderId="7" xfId="0" applyNumberFormat="1" applyFont="1" applyFill="1" applyBorder="1" applyAlignment="1">
      <alignment horizontal="left" vertical="center"/>
    </xf>
    <xf numFmtId="0" fontId="5" fillId="18" borderId="10" xfId="0" applyFont="1" applyFill="1" applyBorder="1" applyAlignment="1">
      <alignment horizontal="left"/>
    </xf>
    <xf numFmtId="0" fontId="4" fillId="15" borderId="8" xfId="0" applyFont="1" applyFill="1" applyBorder="1" applyAlignment="1">
      <alignment horizontal="left" vertical="center"/>
    </xf>
    <xf numFmtId="0" fontId="5" fillId="16" borderId="9" xfId="0" applyFont="1" applyFill="1" applyBorder="1"/>
    <xf numFmtId="0" fontId="5" fillId="16" borderId="11" xfId="0" applyFont="1" applyFill="1" applyBorder="1"/>
    <xf numFmtId="0" fontId="5" fillId="16" borderId="12" xfId="0" applyFont="1" applyFill="1" applyBorder="1"/>
    <xf numFmtId="164" fontId="8" fillId="17" borderId="7" xfId="0" applyNumberFormat="1" applyFont="1" applyFill="1" applyBorder="1" applyAlignment="1">
      <alignment horizontal="left" vertical="center"/>
    </xf>
    <xf numFmtId="0" fontId="5" fillId="16" borderId="10" xfId="0" applyFont="1" applyFill="1" applyBorder="1"/>
    <xf numFmtId="0" fontId="8" fillId="5" borderId="8" xfId="0" applyFont="1" applyFill="1" applyBorder="1" applyAlignment="1">
      <alignment horizontal="left" vertical="center" wrapText="1"/>
    </xf>
    <xf numFmtId="0" fontId="5" fillId="0" borderId="13" xfId="0" applyFont="1" applyBorder="1"/>
    <xf numFmtId="0" fontId="5" fillId="0" borderId="16" xfId="0" applyFont="1" applyBorder="1"/>
    <xf numFmtId="0" fontId="8" fillId="0" borderId="8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4" xfId="0" applyFont="1" applyBorder="1"/>
    <xf numFmtId="0" fontId="4" fillId="2" borderId="1" xfId="0" applyFont="1" applyFill="1" applyBorder="1" applyAlignment="1">
      <alignment horizontal="left" vertical="center"/>
    </xf>
    <xf numFmtId="0" fontId="5" fillId="0" borderId="6" xfId="0" applyFont="1" applyBorder="1"/>
    <xf numFmtId="3" fontId="8" fillId="5" borderId="7" xfId="0" applyNumberFormat="1" applyFont="1" applyFill="1" applyBorder="1" applyAlignment="1">
      <alignment horizontal="center" vertical="center"/>
    </xf>
    <xf numFmtId="0" fontId="5" fillId="0" borderId="10" xfId="0" applyFont="1" applyBorder="1"/>
    <xf numFmtId="0" fontId="10" fillId="0" borderId="8" xfId="0" applyFont="1" applyBorder="1" applyAlignment="1">
      <alignment horizontal="left" vertical="center" wrapText="1"/>
    </xf>
    <xf numFmtId="0" fontId="5" fillId="0" borderId="14" xfId="0" applyFont="1" applyBorder="1"/>
    <xf numFmtId="0" fontId="5" fillId="0" borderId="15" xfId="0" applyFont="1" applyBorder="1"/>
    <xf numFmtId="0" fontId="8" fillId="5" borderId="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12" fillId="5" borderId="8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8" fillId="8" borderId="7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8" fillId="0" borderId="7" xfId="0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center" vertical="center"/>
    </xf>
    <xf numFmtId="9" fontId="8" fillId="0" borderId="7" xfId="0" applyNumberFormat="1" applyFont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164" fontId="8" fillId="4" borderId="7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8" fillId="7" borderId="7" xfId="0" applyFont="1" applyFill="1" applyBorder="1" applyAlignment="1">
      <alignment horizontal="left" vertical="center"/>
    </xf>
    <xf numFmtId="164" fontId="8" fillId="3" borderId="7" xfId="0" applyNumberFormat="1" applyFont="1" applyFill="1" applyBorder="1" applyAlignment="1">
      <alignment horizontal="left" vertical="center"/>
    </xf>
    <xf numFmtId="0" fontId="8" fillId="5" borderId="7" xfId="0" applyFont="1" applyFill="1" applyBorder="1" applyAlignment="1">
      <alignment horizontal="left" vertical="center"/>
    </xf>
    <xf numFmtId="164" fontId="8" fillId="5" borderId="7" xfId="0" applyNumberFormat="1" applyFont="1" applyFill="1" applyBorder="1" applyAlignment="1">
      <alignment horizontal="center" vertical="center"/>
    </xf>
    <xf numFmtId="9" fontId="8" fillId="5" borderId="7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/>
    </xf>
    <xf numFmtId="0" fontId="4" fillId="0" borderId="8" xfId="0" applyFont="1" applyBorder="1" applyAlignment="1">
      <alignment horizontal="left" vertical="center"/>
    </xf>
    <xf numFmtId="0" fontId="2" fillId="0" borderId="0" xfId="0" applyFont="1" applyAlignment="1">
      <alignment horizontal="right"/>
    </xf>
    <xf numFmtId="0" fontId="0" fillId="0" borderId="0" xfId="0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0" borderId="0" xfId="0" applyFont="1"/>
    <xf numFmtId="0" fontId="4" fillId="7" borderId="20" xfId="0" applyFont="1" applyFill="1" applyBorder="1" applyAlignment="1">
      <alignment horizontal="left" vertical="center"/>
    </xf>
    <xf numFmtId="0" fontId="5" fillId="0" borderId="21" xfId="0" applyFont="1" applyBorder="1"/>
    <xf numFmtId="0" fontId="5" fillId="0" borderId="25" xfId="0" applyFont="1" applyBorder="1"/>
    <xf numFmtId="0" fontId="5" fillId="0" borderId="26" xfId="0" applyFont="1" applyBorder="1"/>
    <xf numFmtId="0" fontId="4" fillId="5" borderId="20" xfId="0" applyFont="1" applyFill="1" applyBorder="1" applyAlignment="1">
      <alignment horizontal="left" vertical="center"/>
    </xf>
    <xf numFmtId="0" fontId="10" fillId="0" borderId="31" xfId="0" applyFont="1" applyBorder="1" applyAlignment="1">
      <alignment horizontal="left" vertical="center" wrapText="1"/>
    </xf>
    <xf numFmtId="0" fontId="5" fillId="0" borderId="24" xfId="0" applyFont="1" applyBorder="1"/>
    <xf numFmtId="0" fontId="4" fillId="3" borderId="17" xfId="0" applyFont="1" applyFill="1" applyBorder="1" applyAlignment="1">
      <alignment horizontal="left" vertical="center"/>
    </xf>
    <xf numFmtId="0" fontId="5" fillId="0" borderId="18" xfId="0" applyFont="1" applyBorder="1"/>
    <xf numFmtId="3" fontId="8" fillId="5" borderId="22" xfId="0" applyNumberFormat="1" applyFont="1" applyFill="1" applyBorder="1" applyAlignment="1">
      <alignment horizontal="center" vertical="center"/>
    </xf>
    <xf numFmtId="0" fontId="5" fillId="0" borderId="27" xfId="0" applyFont="1" applyBorder="1"/>
    <xf numFmtId="0" fontId="10" fillId="0" borderId="23" xfId="0" applyFont="1" applyBorder="1" applyAlignment="1">
      <alignment horizontal="left" vertical="center" wrapText="1"/>
    </xf>
    <xf numFmtId="0" fontId="5" fillId="0" borderId="28" xfId="0" applyFont="1" applyBorder="1"/>
    <xf numFmtId="0" fontId="5" fillId="0" borderId="29" xfId="0" applyFont="1" applyBorder="1"/>
    <xf numFmtId="0" fontId="5" fillId="0" borderId="30" xfId="0" applyFont="1" applyBorder="1"/>
    <xf numFmtId="3" fontId="8" fillId="8" borderId="22" xfId="0" applyNumberFormat="1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5" fillId="0" borderId="32" xfId="0" applyFont="1" applyBorder="1"/>
    <xf numFmtId="0" fontId="8" fillId="5" borderId="22" xfId="0" applyFont="1" applyFill="1" applyBorder="1" applyAlignment="1">
      <alignment horizontal="center" vertical="center"/>
    </xf>
    <xf numFmtId="0" fontId="5" fillId="0" borderId="33" xfId="0" applyFont="1" applyBorder="1"/>
    <xf numFmtId="0" fontId="20" fillId="0" borderId="8" xfId="0" applyFont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2" fillId="5" borderId="8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4" fillId="7" borderId="8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5" borderId="8" xfId="0" applyFont="1" applyFill="1" applyBorder="1" applyAlignment="1">
      <alignment horizontal="left" vertical="center"/>
    </xf>
    <xf numFmtId="3" fontId="8" fillId="5" borderId="7" xfId="0" applyNumberFormat="1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left" vertical="center" wrapText="1"/>
    </xf>
    <xf numFmtId="164" fontId="21" fillId="0" borderId="7" xfId="0" applyNumberFormat="1" applyFont="1" applyBorder="1"/>
    <xf numFmtId="0" fontId="4" fillId="7" borderId="1" xfId="0" applyFont="1" applyFill="1" applyBorder="1" applyAlignment="1">
      <alignment horizontal="center" vertical="center"/>
    </xf>
    <xf numFmtId="3" fontId="10" fillId="8" borderId="8" xfId="0" applyNumberFormat="1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164" fontId="8" fillId="10" borderId="7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164" fontId="8" fillId="5" borderId="7" xfId="0" applyNumberFormat="1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16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5" fillId="0" borderId="36" xfId="0" applyFont="1" applyBorder="1"/>
    <xf numFmtId="0" fontId="5" fillId="0" borderId="35" xfId="0" applyFont="1" applyBorder="1"/>
    <xf numFmtId="0" fontId="22" fillId="5" borderId="20" xfId="0" applyFont="1" applyFill="1" applyBorder="1" applyAlignment="1">
      <alignment horizontal="center" vertical="center"/>
    </xf>
    <xf numFmtId="0" fontId="5" fillId="0" borderId="31" xfId="0" applyFont="1" applyBorder="1"/>
    <xf numFmtId="0" fontId="5" fillId="0" borderId="37" xfId="0" applyFont="1" applyBorder="1"/>
    <xf numFmtId="0" fontId="4" fillId="0" borderId="8" xfId="0" applyFont="1" applyBorder="1" applyAlignment="1">
      <alignment horizontal="center" vertical="center" wrapText="1"/>
    </xf>
    <xf numFmtId="164" fontId="8" fillId="3" borderId="7" xfId="0" applyNumberFormat="1" applyFont="1" applyFill="1" applyBorder="1" applyAlignment="1">
      <alignment horizontal="center" vertical="center"/>
    </xf>
    <xf numFmtId="164" fontId="8" fillId="4" borderId="7" xfId="0" applyNumberFormat="1" applyFont="1" applyFill="1" applyBorder="1" applyAlignment="1">
      <alignment horizontal="center" vertical="center"/>
    </xf>
    <xf numFmtId="0" fontId="22" fillId="0" borderId="0" xfId="0" applyFont="1"/>
    <xf numFmtId="0" fontId="12" fillId="5" borderId="20" xfId="0" applyFont="1" applyFill="1" applyBorder="1" applyAlignment="1">
      <alignment horizontal="left" vertical="center"/>
    </xf>
    <xf numFmtId="0" fontId="22" fillId="0" borderId="20" xfId="0" applyFont="1" applyBorder="1" applyAlignment="1">
      <alignment horizontal="center" vertical="center"/>
    </xf>
    <xf numFmtId="0" fontId="20" fillId="5" borderId="20" xfId="0" applyFont="1" applyFill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left" vertical="center"/>
    </xf>
    <xf numFmtId="0" fontId="8" fillId="0" borderId="22" xfId="0" applyFont="1" applyBorder="1" applyAlignment="1">
      <alignment horizontal="center" vertical="center"/>
    </xf>
    <xf numFmtId="3" fontId="8" fillId="8" borderId="8" xfId="0" applyNumberFormat="1" applyFont="1" applyFill="1" applyBorder="1" applyAlignment="1">
      <alignment horizontal="left" vertical="center" wrapText="1"/>
    </xf>
    <xf numFmtId="0" fontId="4" fillId="4" borderId="34" xfId="0" applyFont="1" applyFill="1" applyBorder="1" applyAlignment="1">
      <alignment horizontal="left" vertical="center"/>
    </xf>
    <xf numFmtId="164" fontId="24" fillId="0" borderId="7" xfId="0" applyNumberFormat="1" applyFont="1" applyBorder="1" applyAlignment="1">
      <alignment horizontal="center" vertical="center"/>
    </xf>
    <xf numFmtId="164" fontId="24" fillId="5" borderId="7" xfId="0" applyNumberFormat="1" applyFont="1" applyFill="1" applyBorder="1" applyAlignment="1">
      <alignment horizontal="center" vertical="center"/>
    </xf>
    <xf numFmtId="0" fontId="5" fillId="0" borderId="38" xfId="0" applyFont="1" applyBorder="1"/>
    <xf numFmtId="164" fontId="8" fillId="5" borderId="8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10" fontId="8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0" fontId="20" fillId="5" borderId="8" xfId="0" applyFont="1" applyFill="1" applyBorder="1" applyAlignment="1">
      <alignment horizontal="left" vertical="center"/>
    </xf>
    <xf numFmtId="0" fontId="22" fillId="5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3" fontId="8" fillId="5" borderId="8" xfId="0" applyNumberFormat="1" applyFont="1" applyFill="1" applyBorder="1" applyAlignment="1">
      <alignment horizontal="left" vertical="center"/>
    </xf>
    <xf numFmtId="0" fontId="8" fillId="7" borderId="8" xfId="0" applyFont="1" applyFill="1" applyBorder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27" fillId="10" borderId="1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7" fillId="4" borderId="1" xfId="0" applyFont="1" applyFill="1" applyBorder="1" applyAlignment="1">
      <alignment horizontal="left" vertical="center"/>
    </xf>
    <xf numFmtId="0" fontId="27" fillId="2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164" fontId="8" fillId="10" borderId="7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169" fontId="29" fillId="0" borderId="11" xfId="0" applyNumberFormat="1" applyFont="1" applyBorder="1" applyAlignment="1">
      <alignment horizontal="right" vertical="center"/>
    </xf>
    <xf numFmtId="169" fontId="30" fillId="0" borderId="14" xfId="0" applyNumberFormat="1" applyFont="1" applyBorder="1" applyAlignment="1">
      <alignment horizontal="right" vertical="center"/>
    </xf>
    <xf numFmtId="169" fontId="29" fillId="0" borderId="14" xfId="0" applyNumberFormat="1" applyFont="1" applyBorder="1" applyAlignment="1">
      <alignment horizontal="right" vertical="center"/>
    </xf>
    <xf numFmtId="169" fontId="30" fillId="0" borderId="11" xfId="0" applyNumberFormat="1" applyFont="1" applyBorder="1" applyAlignment="1">
      <alignment horizontal="center" vertical="center"/>
    </xf>
    <xf numFmtId="169" fontId="29" fillId="5" borderId="1" xfId="0" applyNumberFormat="1" applyFont="1" applyFill="1" applyBorder="1" applyAlignment="1">
      <alignment horizontal="right" vertical="center"/>
    </xf>
    <xf numFmtId="0" fontId="47" fillId="0" borderId="0" xfId="0" applyFont="1" applyAlignment="1">
      <alignment horizontal="center" vertical="center"/>
    </xf>
    <xf numFmtId="169" fontId="30" fillId="0" borderId="14" xfId="0" applyNumberFormat="1" applyFont="1" applyBorder="1" applyAlignment="1">
      <alignment horizontal="center" vertical="center"/>
    </xf>
    <xf numFmtId="164" fontId="30" fillId="0" borderId="7" xfId="0" applyNumberFormat="1" applyFont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right" vertical="center"/>
    </xf>
    <xf numFmtId="0" fontId="35" fillId="0" borderId="1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/>
    </xf>
    <xf numFmtId="0" fontId="35" fillId="11" borderId="1" xfId="0" applyFont="1" applyFill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2" fillId="5" borderId="20" xfId="0" applyFont="1" applyFill="1" applyBorder="1" applyAlignment="1">
      <alignment horizontal="center" vertical="center"/>
    </xf>
    <xf numFmtId="0" fontId="8" fillId="14" borderId="22" xfId="0" applyFont="1" applyFill="1" applyBorder="1" applyAlignment="1">
      <alignment horizontal="center" vertical="center"/>
    </xf>
    <xf numFmtId="0" fontId="8" fillId="8" borderId="76" xfId="0" applyFont="1" applyFill="1" applyBorder="1" applyAlignment="1">
      <alignment horizontal="center" vertical="center" wrapText="1"/>
    </xf>
    <xf numFmtId="0" fontId="5" fillId="0" borderId="77" xfId="0" applyFont="1" applyBorder="1"/>
    <xf numFmtId="0" fontId="5" fillId="0" borderId="78" xfId="0" applyFont="1" applyBorder="1"/>
    <xf numFmtId="0" fontId="5" fillId="0" borderId="79" xfId="0" applyFont="1" applyBorder="1"/>
    <xf numFmtId="0" fontId="4" fillId="7" borderId="20" xfId="0" applyFont="1" applyFill="1" applyBorder="1" applyAlignment="1">
      <alignment horizontal="center" vertical="center"/>
    </xf>
    <xf numFmtId="0" fontId="4" fillId="14" borderId="20" xfId="0" applyFont="1" applyFill="1" applyBorder="1" applyAlignment="1">
      <alignment horizontal="center" vertical="center"/>
    </xf>
    <xf numFmtId="3" fontId="8" fillId="14" borderId="22" xfId="0" applyNumberFormat="1" applyFont="1" applyFill="1" applyBorder="1" applyAlignment="1">
      <alignment horizontal="center" vertical="center"/>
    </xf>
    <xf numFmtId="0" fontId="8" fillId="8" borderId="73" xfId="0" applyFont="1" applyFill="1" applyBorder="1" applyAlignment="1">
      <alignment horizontal="center" vertical="center" wrapText="1"/>
    </xf>
    <xf numFmtId="0" fontId="5" fillId="0" borderId="74" xfId="0" applyFont="1" applyBorder="1"/>
    <xf numFmtId="0" fontId="5" fillId="0" borderId="75" xfId="0" applyFont="1" applyBorder="1"/>
    <xf numFmtId="0" fontId="4" fillId="0" borderId="20" xfId="0" applyFont="1" applyBorder="1" applyAlignment="1">
      <alignment horizontal="center" vertical="center" wrapText="1"/>
    </xf>
    <xf numFmtId="0" fontId="5" fillId="0" borderId="63" xfId="0" applyFont="1" applyBorder="1"/>
    <xf numFmtId="0" fontId="4" fillId="0" borderId="69" xfId="0" applyFont="1" applyBorder="1" applyAlignment="1">
      <alignment horizontal="center" vertical="center"/>
    </xf>
    <xf numFmtId="0" fontId="5" fillId="0" borderId="70" xfId="0" applyFont="1" applyBorder="1"/>
    <xf numFmtId="164" fontId="8" fillId="0" borderId="54" xfId="0" applyNumberFormat="1" applyFont="1" applyBorder="1" applyAlignment="1">
      <alignment horizontal="center" vertical="center"/>
    </xf>
    <xf numFmtId="0" fontId="5" fillId="0" borderId="57" xfId="0" applyFont="1" applyBorder="1"/>
    <xf numFmtId="164" fontId="8" fillId="0" borderId="22" xfId="0" applyNumberFormat="1" applyFont="1" applyBorder="1" applyAlignment="1">
      <alignment horizontal="center" vertical="center"/>
    </xf>
    <xf numFmtId="164" fontId="8" fillId="0" borderId="55" xfId="0" applyNumberFormat="1" applyFont="1" applyBorder="1" applyAlignment="1">
      <alignment horizontal="center" vertical="center"/>
    </xf>
    <xf numFmtId="0" fontId="5" fillId="0" borderId="58" xfId="0" applyFont="1" applyBorder="1"/>
    <xf numFmtId="164" fontId="8" fillId="4" borderId="55" xfId="0" applyNumberFormat="1" applyFont="1" applyFill="1" applyBorder="1" applyAlignment="1">
      <alignment horizontal="center" vertical="center"/>
    </xf>
    <xf numFmtId="0" fontId="5" fillId="0" borderId="64" xfId="0" applyFont="1" applyBorder="1"/>
    <xf numFmtId="164" fontId="8" fillId="5" borderId="55" xfId="0" applyNumberFormat="1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/>
    </xf>
    <xf numFmtId="0" fontId="8" fillId="7" borderId="54" xfId="0" applyFont="1" applyFill="1" applyBorder="1" applyAlignment="1">
      <alignment horizontal="center" vertical="center"/>
    </xf>
    <xf numFmtId="164" fontId="8" fillId="0" borderId="23" xfId="0" applyNumberFormat="1" applyFont="1" applyBorder="1" applyAlignment="1">
      <alignment horizontal="center" vertical="center"/>
    </xf>
    <xf numFmtId="0" fontId="8" fillId="5" borderId="54" xfId="0" applyFont="1" applyFill="1" applyBorder="1" applyAlignment="1">
      <alignment horizontal="center" vertical="center"/>
    </xf>
    <xf numFmtId="164" fontId="8" fillId="5" borderId="22" xfId="0" applyNumberFormat="1" applyFont="1" applyFill="1" applyBorder="1" applyAlignment="1">
      <alignment horizontal="center" vertical="center"/>
    </xf>
    <xf numFmtId="164" fontId="8" fillId="5" borderId="60" xfId="0" applyNumberFormat="1" applyFont="1" applyFill="1" applyBorder="1" applyAlignment="1">
      <alignment horizontal="center" vertical="center"/>
    </xf>
    <xf numFmtId="0" fontId="5" fillId="0" borderId="61" xfId="0" applyFont="1" applyBorder="1"/>
    <xf numFmtId="0" fontId="4" fillId="7" borderId="65" xfId="0" applyFont="1" applyFill="1" applyBorder="1" applyAlignment="1">
      <alignment horizontal="center" vertical="center"/>
    </xf>
    <xf numFmtId="0" fontId="5" fillId="0" borderId="66" xfId="0" applyFont="1" applyBorder="1"/>
    <xf numFmtId="0" fontId="5" fillId="0" borderId="67" xfId="0" applyFont="1" applyBorder="1"/>
    <xf numFmtId="0" fontId="4" fillId="3" borderId="17" xfId="0" applyFont="1" applyFill="1" applyBorder="1" applyAlignment="1">
      <alignment horizontal="center" vertical="center"/>
    </xf>
    <xf numFmtId="0" fontId="5" fillId="0" borderId="71" xfId="0" applyFont="1" applyBorder="1"/>
    <xf numFmtId="0" fontId="4" fillId="3" borderId="72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64" fontId="8" fillId="5" borderId="54" xfId="0" applyNumberFormat="1" applyFont="1" applyFill="1" applyBorder="1" applyAlignment="1">
      <alignment horizontal="center" vertical="center"/>
    </xf>
    <xf numFmtId="3" fontId="10" fillId="8" borderId="73" xfId="0" applyNumberFormat="1" applyFont="1" applyFill="1" applyBorder="1" applyAlignment="1">
      <alignment horizontal="center" vertical="center" wrapText="1"/>
    </xf>
    <xf numFmtId="164" fontId="8" fillId="3" borderId="56" xfId="0" applyNumberFormat="1" applyFont="1" applyFill="1" applyBorder="1" applyAlignment="1">
      <alignment horizontal="center" vertical="center"/>
    </xf>
    <xf numFmtId="0" fontId="5" fillId="0" borderId="59" xfId="0" applyFont="1" applyBorder="1"/>
    <xf numFmtId="0" fontId="5" fillId="0" borderId="62" xfId="0" applyFont="1" applyBorder="1"/>
    <xf numFmtId="0" fontId="4" fillId="3" borderId="3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079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1:AA1024"/>
  <sheetViews>
    <sheetView tabSelected="1" zoomScale="70" zoomScaleNormal="70" workbookViewId="0">
      <selection activeCell="D23" sqref="D23:D24"/>
    </sheetView>
  </sheetViews>
  <sheetFormatPr defaultColWidth="12.5703125" defaultRowHeight="15" customHeight="1"/>
  <cols>
    <col min="1" max="1" width="12.5703125" customWidth="1"/>
    <col min="2" max="2" width="10.85546875" customWidth="1"/>
    <col min="3" max="3" width="45.42578125" customWidth="1"/>
    <col min="4" max="6" width="25.85546875" customWidth="1"/>
    <col min="7" max="7" width="5.85546875" customWidth="1"/>
    <col min="8" max="12" width="25.85546875" customWidth="1"/>
    <col min="13" max="13" width="5.85546875" customWidth="1"/>
    <col min="14" max="14" width="25.85546875" customWidth="1"/>
    <col min="15" max="15" width="29.28515625" customWidth="1"/>
    <col min="16" max="16" width="25.85546875" customWidth="1"/>
  </cols>
  <sheetData>
    <row r="1" spans="2:27" ht="15.75" customHeight="1"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 ht="15.75" customHeight="1"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54" customHeight="1">
      <c r="B3" s="177" t="s">
        <v>0</v>
      </c>
      <c r="C3" s="178"/>
      <c r="D3" s="178"/>
      <c r="E3" s="178"/>
      <c r="F3" s="178"/>
      <c r="G3" s="178"/>
      <c r="H3" s="178"/>
      <c r="I3" s="178"/>
      <c r="J3" s="179" t="s">
        <v>1</v>
      </c>
      <c r="K3" s="178"/>
      <c r="L3" s="178"/>
      <c r="M3" s="178"/>
      <c r="N3" s="178"/>
      <c r="O3" s="178"/>
      <c r="P3" s="178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15" customHeight="1"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 ht="15.75" customHeight="1"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 ht="31.5" customHeight="1">
      <c r="B6" s="180" t="s">
        <v>2</v>
      </c>
      <c r="C6" s="181"/>
      <c r="D6" s="182"/>
      <c r="E6" s="144"/>
      <c r="F6" s="3"/>
      <c r="G6" s="3"/>
      <c r="H6" s="180" t="s">
        <v>3</v>
      </c>
      <c r="I6" s="181"/>
      <c r="J6" s="183" t="s">
        <v>4</v>
      </c>
      <c r="K6" s="144"/>
      <c r="L6" s="3"/>
      <c r="M6" s="3"/>
      <c r="N6" s="3"/>
      <c r="O6" s="4" t="s">
        <v>5</v>
      </c>
      <c r="P6" s="5">
        <f ca="1">TODAY()</f>
        <v>45989</v>
      </c>
      <c r="Q6" s="184"/>
      <c r="R6" s="178"/>
      <c r="S6" s="1"/>
      <c r="T6" s="1"/>
      <c r="U6" s="1"/>
      <c r="V6" s="1"/>
      <c r="W6" s="1"/>
      <c r="X6" s="1"/>
      <c r="Y6" s="1"/>
      <c r="Z6" s="1"/>
      <c r="AA6" s="1"/>
    </row>
    <row r="7" spans="2:27" ht="31.5" customHeight="1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 ht="31.5" customHeight="1">
      <c r="B8" s="143" t="s">
        <v>6</v>
      </c>
      <c r="C8" s="146"/>
      <c r="D8" s="146"/>
      <c r="E8" s="146"/>
      <c r="F8" s="144"/>
      <c r="G8" s="6"/>
      <c r="H8" s="157" t="s">
        <v>7</v>
      </c>
      <c r="I8" s="146"/>
      <c r="J8" s="146"/>
      <c r="K8" s="146"/>
      <c r="L8" s="144"/>
      <c r="M8" s="6"/>
      <c r="N8" s="145" t="s">
        <v>8</v>
      </c>
      <c r="O8" s="146"/>
      <c r="P8" s="144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31.5" customHeight="1">
      <c r="B9" s="7" t="s">
        <v>9</v>
      </c>
      <c r="C9" s="8" t="s">
        <v>10</v>
      </c>
      <c r="D9" s="9" t="s">
        <v>11</v>
      </c>
      <c r="E9" s="9" t="s">
        <v>12</v>
      </c>
      <c r="F9" s="9" t="s">
        <v>13</v>
      </c>
      <c r="G9" s="10"/>
      <c r="H9" s="9" t="s">
        <v>14</v>
      </c>
      <c r="I9" s="9" t="s">
        <v>15</v>
      </c>
      <c r="J9" s="9" t="s">
        <v>16</v>
      </c>
      <c r="K9" s="9" t="s">
        <v>17</v>
      </c>
      <c r="L9" s="9" t="s">
        <v>13</v>
      </c>
      <c r="M9" s="10"/>
      <c r="N9" s="175"/>
      <c r="O9" s="144"/>
      <c r="P9" s="11" t="s">
        <v>13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 ht="31.5" customHeight="1">
      <c r="B10" s="169">
        <v>1</v>
      </c>
      <c r="C10" s="163" t="s">
        <v>18</v>
      </c>
      <c r="D10" s="164">
        <v>2325</v>
      </c>
      <c r="E10" s="165"/>
      <c r="F10" s="164">
        <f>(D10*E10)+D10</f>
        <v>2325</v>
      </c>
      <c r="G10" s="12"/>
      <c r="H10" s="164"/>
      <c r="I10" s="164"/>
      <c r="J10" s="164">
        <v>1330</v>
      </c>
      <c r="K10" s="164"/>
      <c r="L10" s="164">
        <f>SUM(H10:K10)</f>
        <v>1330</v>
      </c>
      <c r="M10" s="12"/>
      <c r="N10" s="176" t="s">
        <v>19</v>
      </c>
      <c r="O10" s="128"/>
      <c r="P10" s="170">
        <f>F20</f>
        <v>13950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 ht="31.5" customHeight="1">
      <c r="B11" s="148"/>
      <c r="C11" s="148"/>
      <c r="D11" s="148"/>
      <c r="E11" s="148"/>
      <c r="F11" s="148"/>
      <c r="G11" s="12"/>
      <c r="H11" s="148"/>
      <c r="I11" s="148"/>
      <c r="J11" s="148"/>
      <c r="K11" s="148"/>
      <c r="L11" s="148"/>
      <c r="M11" s="12"/>
      <c r="N11" s="129"/>
      <c r="O11" s="130"/>
      <c r="P11" s="148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ht="31.5" customHeight="1">
      <c r="B12" s="171">
        <v>2</v>
      </c>
      <c r="C12" s="171" t="s">
        <v>20</v>
      </c>
      <c r="D12" s="172">
        <v>2325</v>
      </c>
      <c r="E12" s="173">
        <v>0.75</v>
      </c>
      <c r="F12" s="172">
        <f>(D12*E12)+D12</f>
        <v>4068.75</v>
      </c>
      <c r="G12" s="12"/>
      <c r="H12" s="172">
        <v>1330</v>
      </c>
      <c r="I12" s="172">
        <v>1330</v>
      </c>
      <c r="J12" s="172"/>
      <c r="K12" s="172"/>
      <c r="L12" s="172">
        <f>SUM(H12:K12)</f>
        <v>2660</v>
      </c>
      <c r="M12" s="12"/>
      <c r="N12" s="127" t="s">
        <v>21</v>
      </c>
      <c r="O12" s="128"/>
      <c r="P12" s="167">
        <f>L20</f>
        <v>8740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 ht="31.5" customHeight="1">
      <c r="B13" s="148"/>
      <c r="C13" s="148"/>
      <c r="D13" s="148"/>
      <c r="E13" s="148"/>
      <c r="F13" s="148"/>
      <c r="G13" s="12"/>
      <c r="H13" s="148"/>
      <c r="I13" s="148"/>
      <c r="J13" s="148"/>
      <c r="K13" s="148"/>
      <c r="L13" s="148"/>
      <c r="M13" s="12"/>
      <c r="N13" s="129"/>
      <c r="O13" s="130"/>
      <c r="P13" s="148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ht="31.5" customHeight="1">
      <c r="B14" s="169">
        <v>3</v>
      </c>
      <c r="C14" s="163" t="s">
        <v>22</v>
      </c>
      <c r="D14" s="164">
        <v>2325</v>
      </c>
      <c r="E14" s="165"/>
      <c r="F14" s="164">
        <f>(D14*E14)+D14</f>
        <v>2325</v>
      </c>
      <c r="G14" s="13"/>
      <c r="H14" s="164"/>
      <c r="I14" s="164"/>
      <c r="J14" s="164">
        <v>1330</v>
      </c>
      <c r="K14" s="164"/>
      <c r="L14" s="164">
        <f>SUM(H14:K14)</f>
        <v>1330</v>
      </c>
      <c r="M14" s="13"/>
      <c r="N14" s="127" t="s">
        <v>161</v>
      </c>
      <c r="O14" s="128"/>
      <c r="P14" s="131">
        <v>760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31.5" customHeight="1">
      <c r="B15" s="148"/>
      <c r="C15" s="148"/>
      <c r="D15" s="148"/>
      <c r="E15" s="148"/>
      <c r="F15" s="148"/>
      <c r="G15" s="13"/>
      <c r="H15" s="148"/>
      <c r="I15" s="148"/>
      <c r="J15" s="148"/>
      <c r="K15" s="148"/>
      <c r="L15" s="148"/>
      <c r="M15" s="13"/>
      <c r="N15" s="129"/>
      <c r="O15" s="130"/>
      <c r="P15" s="132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 ht="31.5" customHeight="1">
      <c r="B16" s="171">
        <v>4</v>
      </c>
      <c r="C16" s="171" t="s">
        <v>23</v>
      </c>
      <c r="D16" s="172">
        <v>2325</v>
      </c>
      <c r="E16" s="173">
        <v>0.25</v>
      </c>
      <c r="F16" s="172">
        <f>(D16*E16)+D16</f>
        <v>2906.25</v>
      </c>
      <c r="G16" s="13"/>
      <c r="H16" s="172">
        <v>1330</v>
      </c>
      <c r="I16" s="152"/>
      <c r="J16" s="172"/>
      <c r="K16" s="172">
        <v>760</v>
      </c>
      <c r="L16" s="172">
        <f>SUM(H16:K16)</f>
        <v>2090</v>
      </c>
      <c r="M16" s="13"/>
      <c r="N16" s="133"/>
      <c r="O16" s="134"/>
      <c r="P16" s="137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ht="31.5" customHeight="1">
      <c r="B17" s="148"/>
      <c r="C17" s="148"/>
      <c r="D17" s="148"/>
      <c r="E17" s="148"/>
      <c r="F17" s="148"/>
      <c r="G17" s="13"/>
      <c r="H17" s="148"/>
      <c r="I17" s="148"/>
      <c r="J17" s="148"/>
      <c r="K17" s="148"/>
      <c r="L17" s="148"/>
      <c r="M17" s="13"/>
      <c r="N17" s="135"/>
      <c r="O17" s="136"/>
      <c r="P17" s="138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31.5" customHeight="1">
      <c r="B18" s="169">
        <v>5</v>
      </c>
      <c r="C18" s="163" t="s">
        <v>24</v>
      </c>
      <c r="D18" s="164">
        <v>2325</v>
      </c>
      <c r="E18" s="165"/>
      <c r="F18" s="164">
        <f>(D18*E18)+D18</f>
        <v>2325</v>
      </c>
      <c r="G18" s="13"/>
      <c r="H18" s="164"/>
      <c r="I18" s="164"/>
      <c r="J18" s="164">
        <v>1330</v>
      </c>
      <c r="K18" s="164"/>
      <c r="L18" s="164">
        <f>SUM(H18:K18)</f>
        <v>1330</v>
      </c>
      <c r="M18" s="13"/>
      <c r="N18" s="133"/>
      <c r="O18" s="134"/>
      <c r="P18" s="137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31.5" customHeight="1">
      <c r="B19" s="148"/>
      <c r="C19" s="148"/>
      <c r="D19" s="148"/>
      <c r="E19" s="148"/>
      <c r="F19" s="148"/>
      <c r="G19" s="13"/>
      <c r="H19" s="148"/>
      <c r="I19" s="148"/>
      <c r="J19" s="148"/>
      <c r="K19" s="148"/>
      <c r="L19" s="148"/>
      <c r="M19" s="13"/>
      <c r="N19" s="135"/>
      <c r="O19" s="136"/>
      <c r="P19" s="138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31.5" customHeight="1">
      <c r="B20" s="174" t="s">
        <v>19</v>
      </c>
      <c r="C20" s="146"/>
      <c r="D20" s="146"/>
      <c r="E20" s="144"/>
      <c r="F20" s="14">
        <f>SUM(F10:F19)</f>
        <v>13950</v>
      </c>
      <c r="G20" s="13"/>
      <c r="H20" s="168" t="s">
        <v>21</v>
      </c>
      <c r="I20" s="146"/>
      <c r="J20" s="146"/>
      <c r="K20" s="144"/>
      <c r="L20" s="15">
        <f>SUM(L10:L19)</f>
        <v>8740</v>
      </c>
      <c r="M20" s="13"/>
      <c r="N20" s="168" t="s">
        <v>25</v>
      </c>
      <c r="O20" s="144"/>
      <c r="P20" s="16">
        <f>SUM(P10:P13)-P14</f>
        <v>21930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31.5" customHeight="1"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31.5" customHeight="1">
      <c r="B22" s="143" t="s">
        <v>26</v>
      </c>
      <c r="C22" s="144"/>
      <c r="D22" s="17" t="s">
        <v>9</v>
      </c>
      <c r="E22" s="143" t="s">
        <v>27</v>
      </c>
      <c r="F22" s="144"/>
      <c r="G22" s="6"/>
      <c r="H22" s="157" t="s">
        <v>26</v>
      </c>
      <c r="I22" s="144"/>
      <c r="J22" s="18" t="s">
        <v>9</v>
      </c>
      <c r="K22" s="157" t="s">
        <v>27</v>
      </c>
      <c r="L22" s="144"/>
      <c r="M22" s="6"/>
      <c r="N22" s="145" t="s">
        <v>28</v>
      </c>
      <c r="O22" s="146"/>
      <c r="P22" s="144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31.5" customHeight="1">
      <c r="B23" s="159" t="s">
        <v>29</v>
      </c>
      <c r="C23" s="160"/>
      <c r="D23" s="147">
        <f>COUNTIF(D10:D19,"&gt;0")+ROUNDUP(COUNTIF(D10:D19,3560)*0.5,0)</f>
        <v>5</v>
      </c>
      <c r="E23" s="149" t="s">
        <v>30</v>
      </c>
      <c r="F23" s="128"/>
      <c r="G23" s="19"/>
      <c r="H23" s="156" t="s">
        <v>31</v>
      </c>
      <c r="I23" s="128"/>
      <c r="J23" s="152">
        <f>COUNT(H10:H19)</f>
        <v>2</v>
      </c>
      <c r="K23" s="149" t="s">
        <v>32</v>
      </c>
      <c r="L23" s="128"/>
      <c r="M23" s="19"/>
      <c r="N23" s="139" t="s">
        <v>33</v>
      </c>
      <c r="O23" s="140"/>
      <c r="P23" s="128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31.5" customHeight="1">
      <c r="B24" s="161"/>
      <c r="C24" s="162"/>
      <c r="D24" s="148"/>
      <c r="E24" s="150"/>
      <c r="F24" s="151"/>
      <c r="G24" s="19"/>
      <c r="H24" s="129"/>
      <c r="I24" s="130"/>
      <c r="J24" s="148"/>
      <c r="K24" s="150"/>
      <c r="L24" s="151"/>
      <c r="M24" s="19"/>
      <c r="N24" s="129"/>
      <c r="O24" s="141"/>
      <c r="P24" s="130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31.5" customHeight="1">
      <c r="B25" s="166" t="s">
        <v>34</v>
      </c>
      <c r="C25" s="160"/>
      <c r="D25" s="158">
        <f>COUNTIF(D10:D19,"&gt;0")+ROUNDUP(COUNTIF(D10:D19,3560)*0.5,0)</f>
        <v>5</v>
      </c>
      <c r="E25" s="150"/>
      <c r="F25" s="151"/>
      <c r="G25" s="19"/>
      <c r="H25" s="154" t="s">
        <v>15</v>
      </c>
      <c r="I25" s="128"/>
      <c r="J25" s="153">
        <f>COUNT(I10:I13)</f>
        <v>1</v>
      </c>
      <c r="K25" s="150"/>
      <c r="L25" s="151"/>
      <c r="M25" s="19"/>
      <c r="N25" s="142"/>
      <c r="O25" s="140"/>
      <c r="P25" s="128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31.5" customHeight="1">
      <c r="B26" s="161"/>
      <c r="C26" s="162"/>
      <c r="D26" s="148"/>
      <c r="E26" s="129"/>
      <c r="F26" s="130"/>
      <c r="G26" s="19"/>
      <c r="H26" s="129"/>
      <c r="I26" s="130"/>
      <c r="J26" s="148"/>
      <c r="K26" s="129"/>
      <c r="L26" s="130"/>
      <c r="M26" s="19"/>
      <c r="N26" s="129"/>
      <c r="O26" s="141"/>
      <c r="P26" s="130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31.5" customHeight="1">
      <c r="B27" s="159" t="s">
        <v>35</v>
      </c>
      <c r="C27" s="160"/>
      <c r="D27" s="152">
        <v>1</v>
      </c>
      <c r="E27" s="149" t="s">
        <v>36</v>
      </c>
      <c r="F27" s="128"/>
      <c r="G27" s="20"/>
      <c r="H27" s="156" t="s">
        <v>16</v>
      </c>
      <c r="I27" s="128"/>
      <c r="J27" s="152">
        <f>COUNT(J10:J19)</f>
        <v>3</v>
      </c>
      <c r="K27" s="149" t="s">
        <v>37</v>
      </c>
      <c r="L27" s="128"/>
      <c r="M27" s="19"/>
      <c r="N27" s="139"/>
      <c r="O27" s="140"/>
      <c r="P27" s="128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31.5" customHeight="1">
      <c r="B28" s="161"/>
      <c r="C28" s="162"/>
      <c r="D28" s="148"/>
      <c r="E28" s="150"/>
      <c r="F28" s="151"/>
      <c r="G28" s="20"/>
      <c r="H28" s="129"/>
      <c r="I28" s="130"/>
      <c r="J28" s="148"/>
      <c r="K28" s="150"/>
      <c r="L28" s="151"/>
      <c r="M28" s="19"/>
      <c r="N28" s="129"/>
      <c r="O28" s="141"/>
      <c r="P28" s="130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31.5" customHeight="1">
      <c r="B29" s="166" t="s">
        <v>38</v>
      </c>
      <c r="C29" s="160"/>
      <c r="D29" s="153">
        <f>IF(COUNTIF(D10:D19,3560)&gt;0,2,1)</f>
        <v>1</v>
      </c>
      <c r="E29" s="150"/>
      <c r="F29" s="151"/>
      <c r="G29" s="20"/>
      <c r="H29" s="154" t="s">
        <v>17</v>
      </c>
      <c r="I29" s="128"/>
      <c r="J29" s="155">
        <f>COUNT(K10:K19)</f>
        <v>1</v>
      </c>
      <c r="K29" s="150"/>
      <c r="L29" s="151"/>
      <c r="M29" s="19"/>
      <c r="N29" s="142"/>
      <c r="O29" s="140"/>
      <c r="P29" s="128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31.5" customHeight="1">
      <c r="B30" s="161"/>
      <c r="C30" s="162"/>
      <c r="D30" s="148"/>
      <c r="E30" s="150"/>
      <c r="F30" s="151"/>
      <c r="G30" s="20"/>
      <c r="H30" s="129"/>
      <c r="I30" s="130"/>
      <c r="J30" s="148"/>
      <c r="K30" s="150"/>
      <c r="L30" s="151"/>
      <c r="M30" s="19"/>
      <c r="N30" s="129"/>
      <c r="O30" s="141"/>
      <c r="P30" s="130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31.5" customHeight="1">
      <c r="B31" s="159" t="s">
        <v>39</v>
      </c>
      <c r="C31" s="160"/>
      <c r="D31" s="152">
        <f>COUNT(B10:B19)</f>
        <v>5</v>
      </c>
      <c r="E31" s="150"/>
      <c r="F31" s="151"/>
      <c r="G31" s="20"/>
      <c r="H31" s="156" t="s">
        <v>40</v>
      </c>
      <c r="I31" s="128"/>
      <c r="J31" s="152">
        <v>0</v>
      </c>
      <c r="K31" s="150"/>
      <c r="L31" s="151"/>
      <c r="M31" s="19"/>
      <c r="N31" s="139"/>
      <c r="O31" s="140"/>
      <c r="P31" s="128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31.5" customHeight="1">
      <c r="B32" s="161"/>
      <c r="C32" s="162"/>
      <c r="D32" s="148"/>
      <c r="E32" s="129"/>
      <c r="F32" s="130"/>
      <c r="G32" s="20"/>
      <c r="H32" s="129"/>
      <c r="I32" s="130"/>
      <c r="J32" s="148"/>
      <c r="K32" s="129"/>
      <c r="L32" s="130"/>
      <c r="M32" s="19"/>
      <c r="N32" s="129"/>
      <c r="O32" s="141"/>
      <c r="P32" s="130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31.5" customHeight="1">
      <c r="B33" s="125"/>
      <c r="C33" s="125"/>
      <c r="D33" s="125"/>
      <c r="E33" s="125"/>
      <c r="F33" s="125"/>
      <c r="G33" s="126"/>
      <c r="H33" s="125"/>
      <c r="I33" s="125"/>
      <c r="J33" s="125"/>
      <c r="K33" s="125"/>
      <c r="L33" s="125"/>
      <c r="M33" s="19"/>
      <c r="N33" s="125"/>
      <c r="O33" s="125"/>
      <c r="P33" s="125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31.5" customHeight="1">
      <c r="B34" s="125"/>
      <c r="C34" s="125"/>
      <c r="D34" s="125"/>
      <c r="E34" s="125"/>
      <c r="F34" s="125"/>
      <c r="G34" s="126"/>
      <c r="H34" s="125"/>
      <c r="I34" s="125"/>
      <c r="J34" s="125"/>
      <c r="K34" s="125"/>
      <c r="L34" s="125"/>
      <c r="M34" s="19"/>
      <c r="N34" s="125"/>
      <c r="O34" s="125"/>
      <c r="P34" s="125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31.5" customHeight="1">
      <c r="B35" s="125"/>
      <c r="C35" s="125"/>
      <c r="D35" s="125"/>
      <c r="E35" s="125"/>
      <c r="F35" s="125"/>
      <c r="G35" s="126"/>
      <c r="H35" s="125"/>
      <c r="I35" s="125"/>
      <c r="J35" s="125"/>
      <c r="K35" s="125"/>
      <c r="L35" s="125"/>
      <c r="M35" s="19"/>
      <c r="N35" s="125"/>
      <c r="O35" s="125"/>
      <c r="P35" s="125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31.5" customHeight="1">
      <c r="B36" s="125"/>
      <c r="C36" s="125"/>
      <c r="D36" s="125"/>
      <c r="E36" s="125"/>
      <c r="F36" s="125"/>
      <c r="G36" s="126"/>
      <c r="H36" s="125"/>
      <c r="I36" s="125"/>
      <c r="J36" s="125"/>
      <c r="K36" s="125"/>
      <c r="L36" s="125"/>
      <c r="M36" s="19"/>
      <c r="N36" s="125"/>
      <c r="O36" s="125"/>
      <c r="P36" s="125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31.5" customHeight="1">
      <c r="B37" s="125"/>
      <c r="C37" s="125"/>
      <c r="D37" s="125"/>
      <c r="E37" s="125"/>
      <c r="F37" s="125"/>
      <c r="G37" s="126"/>
      <c r="H37" s="125"/>
      <c r="I37" s="125"/>
      <c r="J37" s="125"/>
      <c r="K37" s="125"/>
      <c r="L37" s="125"/>
      <c r="M37" s="19"/>
      <c r="N37" s="125"/>
      <c r="O37" s="125"/>
      <c r="P37" s="125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31.5" customHeight="1">
      <c r="B38" s="125"/>
      <c r="C38" s="125"/>
      <c r="D38" s="125"/>
      <c r="E38" s="125"/>
      <c r="F38" s="125"/>
      <c r="G38" s="126"/>
      <c r="H38" s="125"/>
      <c r="I38" s="125"/>
      <c r="J38" s="125"/>
      <c r="K38" s="125"/>
      <c r="L38" s="125"/>
      <c r="M38" s="19"/>
      <c r="N38" s="125"/>
      <c r="O38" s="125"/>
      <c r="P38" s="125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31.5" customHeight="1">
      <c r="B39" s="125"/>
      <c r="C39" s="125"/>
      <c r="D39" s="125"/>
      <c r="E39" s="125"/>
      <c r="F39" s="125"/>
      <c r="G39" s="126"/>
      <c r="H39" s="125"/>
      <c r="I39" s="125"/>
      <c r="J39" s="125"/>
      <c r="K39" s="125"/>
      <c r="L39" s="125"/>
      <c r="M39" s="19"/>
      <c r="N39" s="125"/>
      <c r="O39" s="125"/>
      <c r="P39" s="125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31.5" customHeight="1">
      <c r="B40" s="125"/>
      <c r="C40" s="125"/>
      <c r="D40" s="125"/>
      <c r="E40" s="125"/>
      <c r="F40" s="125"/>
      <c r="G40" s="126"/>
      <c r="H40" s="125"/>
      <c r="I40" s="125"/>
      <c r="J40" s="125"/>
      <c r="K40" s="125"/>
      <c r="L40" s="125"/>
      <c r="M40" s="19"/>
      <c r="N40" s="125"/>
      <c r="O40" s="125"/>
      <c r="P40" s="125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31.5" customHeight="1">
      <c r="B41" s="125"/>
      <c r="C41" s="125"/>
      <c r="D41" s="125"/>
      <c r="E41" s="125"/>
      <c r="F41" s="125"/>
      <c r="G41" s="126"/>
      <c r="H41" s="125"/>
      <c r="I41" s="125"/>
      <c r="J41" s="125"/>
      <c r="K41" s="125"/>
      <c r="L41" s="125"/>
      <c r="M41" s="19"/>
      <c r="N41" s="125"/>
      <c r="O41" s="125"/>
      <c r="P41" s="125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31.5" customHeight="1">
      <c r="B42" s="125"/>
      <c r="C42" s="125"/>
      <c r="D42" s="125"/>
      <c r="E42" s="125"/>
      <c r="F42" s="125"/>
      <c r="G42" s="126"/>
      <c r="H42" s="125"/>
      <c r="I42" s="125"/>
      <c r="J42" s="125"/>
      <c r="K42" s="125"/>
      <c r="L42" s="125"/>
      <c r="M42" s="19"/>
      <c r="N42" s="125"/>
      <c r="O42" s="125"/>
      <c r="P42" s="125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31.5" customHeight="1">
      <c r="B43" s="125"/>
      <c r="C43" s="125"/>
      <c r="D43" s="125"/>
      <c r="E43" s="125"/>
      <c r="F43" s="125"/>
      <c r="G43" s="126"/>
      <c r="H43" s="125"/>
      <c r="I43" s="125"/>
      <c r="J43" s="125"/>
      <c r="K43" s="125"/>
      <c r="L43" s="125"/>
      <c r="M43" s="19"/>
      <c r="N43" s="125"/>
      <c r="O43" s="125"/>
      <c r="P43" s="125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31.5" customHeight="1">
      <c r="B44" s="125"/>
      <c r="C44" s="125"/>
      <c r="D44" s="125"/>
      <c r="E44" s="125"/>
      <c r="F44" s="125"/>
      <c r="G44" s="126"/>
      <c r="H44" s="125"/>
      <c r="I44" s="125"/>
      <c r="J44" s="125"/>
      <c r="K44" s="125"/>
      <c r="L44" s="125"/>
      <c r="M44" s="19"/>
      <c r="N44" s="125"/>
      <c r="O44" s="125"/>
      <c r="P44" s="125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31.5" customHeight="1">
      <c r="B45" s="125"/>
      <c r="C45" s="125"/>
      <c r="D45" s="125"/>
      <c r="E45" s="125"/>
      <c r="F45" s="125"/>
      <c r="G45" s="126"/>
      <c r="H45" s="125"/>
      <c r="I45" s="125"/>
      <c r="J45" s="125"/>
      <c r="K45" s="125"/>
      <c r="L45" s="125"/>
      <c r="M45" s="19"/>
      <c r="N45" s="125"/>
      <c r="O45" s="125"/>
      <c r="P45" s="125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31.5" customHeight="1">
      <c r="B46" s="125"/>
      <c r="C46" s="125"/>
      <c r="D46" s="125"/>
      <c r="E46" s="125"/>
      <c r="F46" s="125"/>
      <c r="G46" s="126"/>
      <c r="H46" s="125"/>
      <c r="I46" s="125"/>
      <c r="J46" s="125"/>
      <c r="K46" s="125"/>
      <c r="L46" s="125"/>
      <c r="M46" s="19"/>
      <c r="N46" s="125"/>
      <c r="O46" s="125"/>
      <c r="P46" s="125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31.5" customHeight="1">
      <c r="B47" s="125"/>
      <c r="C47" s="125"/>
      <c r="D47" s="125"/>
      <c r="E47" s="125"/>
      <c r="F47" s="125"/>
      <c r="G47" s="126"/>
      <c r="H47" s="125"/>
      <c r="I47" s="125"/>
      <c r="J47" s="125"/>
      <c r="K47" s="125"/>
      <c r="L47" s="125"/>
      <c r="M47" s="19"/>
      <c r="N47" s="125"/>
      <c r="O47" s="125"/>
      <c r="P47" s="125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31.5" customHeight="1">
      <c r="B48" s="125"/>
      <c r="C48" s="125"/>
      <c r="D48" s="125"/>
      <c r="E48" s="125"/>
      <c r="F48" s="125"/>
      <c r="G48" s="126"/>
      <c r="H48" s="125"/>
      <c r="I48" s="125"/>
      <c r="J48" s="125"/>
      <c r="K48" s="125"/>
      <c r="L48" s="125"/>
      <c r="M48" s="19"/>
      <c r="N48" s="125"/>
      <c r="O48" s="125"/>
      <c r="P48" s="125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31.5" customHeight="1">
      <c r="B49" s="125"/>
      <c r="C49" s="125"/>
      <c r="D49" s="125"/>
      <c r="E49" s="125"/>
      <c r="F49" s="125"/>
      <c r="G49" s="126"/>
      <c r="H49" s="125"/>
      <c r="I49" s="125"/>
      <c r="J49" s="125"/>
      <c r="K49" s="125"/>
      <c r="L49" s="125"/>
      <c r="M49" s="19"/>
      <c r="N49" s="125"/>
      <c r="O49" s="125"/>
      <c r="P49" s="125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31.5" customHeight="1">
      <c r="B50" s="125"/>
      <c r="C50" s="125"/>
      <c r="D50" s="125"/>
      <c r="E50" s="125"/>
      <c r="F50" s="125"/>
      <c r="G50" s="126"/>
      <c r="H50" s="125"/>
      <c r="I50" s="125"/>
      <c r="J50" s="125"/>
      <c r="K50" s="125"/>
      <c r="L50" s="125"/>
      <c r="M50" s="19"/>
      <c r="N50" s="125"/>
      <c r="O50" s="125"/>
      <c r="P50" s="125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31.5" customHeight="1"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6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31.5" customHeight="1"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31.5" customHeight="1"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2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31.5" customHeight="1"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31.5" customHeight="1"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31.5" customHeight="1"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31.5" customHeight="1"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31.5" customHeight="1"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31.5" customHeight="1"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31.5" customHeight="1"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31.5" customHeight="1"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31.5" customHeight="1"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31.5" customHeight="1"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31.5" customHeight="1"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31.5" customHeight="1"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31.5" customHeight="1"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31.5" customHeight="1"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31.5" customHeight="1"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31.5" customHeight="1"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31.5" customHeight="1"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31.5" customHeight="1"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31.5" customHeight="1"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31.5" customHeight="1"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31.5" customHeight="1"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31.5" customHeight="1"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31.5" customHeight="1"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31.5" customHeight="1"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31.5" customHeight="1"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31.5" customHeight="1"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31.5" customHeight="1"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31.5" customHeight="1"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31.5" customHeight="1"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31.5" customHeight="1"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31.5" customHeight="1"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31.5" customHeight="1"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31.5" customHeight="1"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31.5" customHeight="1"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31.5" customHeight="1"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31.5" customHeight="1"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31.5" customHeight="1"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31.5" customHeight="1"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31.5" customHeight="1"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31.5" customHeight="1"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31.5" customHeight="1"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31.5" customHeight="1"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31.5" customHeight="1"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31.5" customHeight="1"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31.5" customHeight="1"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31.5" customHeight="1"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31.5" customHeight="1"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31.5" customHeight="1"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31.5" customHeight="1"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31.5" customHeight="1"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31.5" customHeight="1"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31.5" customHeight="1"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31.5" customHeight="1"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31.5" customHeight="1"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31.5" customHeight="1"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31.5" customHeight="1"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31.5" customHeight="1"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31.5" customHeight="1"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31.5" customHeight="1"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31.5" customHeight="1"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31.5" customHeight="1"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31.5" customHeight="1"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31.5" customHeight="1"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31.5" customHeight="1"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31.5" customHeight="1"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31.5" customHeight="1"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31.5" customHeight="1"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31.5" customHeight="1"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31.5" customHeight="1"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31.5" customHeight="1"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31.5" customHeight="1"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31.5" customHeight="1"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31.5" customHeight="1"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31.5" customHeight="1"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31.5" customHeight="1"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31.5" customHeight="1"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31.5" customHeight="1"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31.5" customHeight="1"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31.5" customHeight="1"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31.5" customHeight="1"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31.5" customHeight="1"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31.5" customHeight="1"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31.5" customHeight="1"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31.5" customHeight="1"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31.5" customHeight="1"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31.5" customHeight="1"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31.5" customHeight="1"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31.5" customHeight="1"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31.5" customHeight="1"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31.5" customHeight="1"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31.5" customHeight="1"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31.5" customHeight="1"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31.5" customHeight="1"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31.5" customHeight="1"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31.5" customHeight="1"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31.5" customHeight="1"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31.5" customHeight="1"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31.5" customHeight="1"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31.5" customHeight="1"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31.5" customHeight="1"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31.5" customHeight="1"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31.5" customHeight="1"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31.5" customHeight="1"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31.5" customHeight="1"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31.5" customHeight="1"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31.5" customHeight="1"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31.5" customHeight="1"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31.5" customHeight="1"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31.5" customHeight="1"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31.5" customHeight="1"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31.5" customHeight="1"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31.5" customHeight="1"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31.5" customHeight="1"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31.5" customHeight="1"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31.5" customHeight="1"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31.5" customHeight="1"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31.5" customHeight="1"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31.5" customHeight="1"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31.5" customHeight="1"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31.5" customHeight="1"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31.5" customHeight="1"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31.5" customHeight="1"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31.5" customHeight="1"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31.5" customHeight="1"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31.5" customHeight="1"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31.5" customHeight="1"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31.5" customHeight="1"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31.5" customHeight="1"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31.5" customHeight="1"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31.5" customHeight="1"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31.5" customHeight="1"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31.5" customHeight="1"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31.5" customHeight="1"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31.5" customHeight="1"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31.5" customHeight="1"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31.5" customHeight="1"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31.5" customHeight="1"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31.5" customHeight="1"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31.5" customHeight="1"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31.5" customHeight="1"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31.5" customHeight="1"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31.5" customHeight="1"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31.5" customHeight="1"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31.5" customHeight="1"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31.5" customHeight="1"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31.5" customHeight="1"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31.5" customHeight="1"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31.5" customHeight="1"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31.5" customHeight="1"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31.5" customHeight="1"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31.5" customHeight="1"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31.5" customHeight="1"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31.5" customHeight="1"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31.5" customHeight="1"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31.5" customHeight="1"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31.5" customHeight="1"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31.5" customHeight="1"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31.5" customHeight="1"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31.5" customHeight="1"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31.5" customHeight="1"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31.5" customHeight="1"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31.5" customHeight="1"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31.5" customHeight="1"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31.5" customHeight="1"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31.5" customHeight="1"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31.5" customHeight="1"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31.5" customHeight="1"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31.5" customHeight="1"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31.5" customHeight="1"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31.5" customHeight="1"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31.5" customHeight="1"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31.5" customHeight="1"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31.5" customHeight="1"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31.5" customHeight="1"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31.5" customHeight="1"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31.5" customHeight="1"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31.5" customHeight="1"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31.5" customHeight="1"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31.5" customHeight="1"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31.5" customHeight="1"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31.5" customHeight="1"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31.5" customHeight="1"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31.5" customHeight="1"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31.5" customHeight="1"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31.5" customHeight="1"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31.5" customHeight="1"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31.5" customHeight="1"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15.75" customHeight="1"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15.75" customHeight="1"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15.75" customHeight="1"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15.75" customHeight="1"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15.75" customHeight="1"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15.75" customHeight="1"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15.75" customHeight="1"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15.75" customHeight="1"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15.75" customHeight="1"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15.75" customHeight="1">
      <c r="D250" s="22"/>
    </row>
    <row r="251" spans="2:27" ht="15.75" customHeight="1">
      <c r="D251" s="22"/>
    </row>
    <row r="252" spans="2:27" ht="15.75" customHeight="1">
      <c r="D252" s="22"/>
    </row>
    <row r="253" spans="2:27" ht="15.75" customHeight="1">
      <c r="D253" s="22"/>
    </row>
    <row r="254" spans="2:27" ht="15.75" customHeight="1">
      <c r="D254" s="22"/>
    </row>
    <row r="255" spans="2:27" ht="15.75" customHeight="1">
      <c r="D255" s="22"/>
    </row>
    <row r="256" spans="2:27" ht="15.75" customHeight="1">
      <c r="D256" s="22"/>
    </row>
    <row r="257" spans="4:4" ht="15.75" customHeight="1">
      <c r="D257" s="22"/>
    </row>
    <row r="258" spans="4:4" ht="15.75" customHeight="1">
      <c r="D258" s="22"/>
    </row>
    <row r="259" spans="4:4" ht="15.75" customHeight="1">
      <c r="D259" s="22"/>
    </row>
    <row r="260" spans="4:4" ht="15.75" customHeight="1">
      <c r="D260" s="22"/>
    </row>
    <row r="261" spans="4:4" ht="15.75" customHeight="1">
      <c r="D261" s="22"/>
    </row>
    <row r="262" spans="4:4" ht="15.75" customHeight="1">
      <c r="D262" s="22"/>
    </row>
    <row r="263" spans="4:4" ht="15.75" customHeight="1">
      <c r="D263" s="22"/>
    </row>
    <row r="264" spans="4:4" ht="15.75" customHeight="1">
      <c r="D264" s="22"/>
    </row>
    <row r="265" spans="4:4" ht="15.75" customHeight="1">
      <c r="D265" s="22"/>
    </row>
    <row r="266" spans="4:4" ht="15.75" customHeight="1">
      <c r="D266" s="22"/>
    </row>
    <row r="267" spans="4:4" ht="15.75" customHeight="1">
      <c r="D267" s="22"/>
    </row>
    <row r="268" spans="4:4" ht="15.75" customHeight="1">
      <c r="D268" s="22"/>
    </row>
    <row r="269" spans="4:4" ht="15.75" customHeight="1">
      <c r="D269" s="22"/>
    </row>
    <row r="270" spans="4:4" ht="15.75" customHeight="1">
      <c r="D270" s="22"/>
    </row>
    <row r="271" spans="4:4" ht="15.75" customHeight="1">
      <c r="D271" s="22"/>
    </row>
    <row r="272" spans="4:4" ht="15.75" customHeight="1">
      <c r="D272" s="22"/>
    </row>
    <row r="273" spans="4:4" ht="15.75" customHeight="1">
      <c r="D273" s="22"/>
    </row>
    <row r="274" spans="4:4" ht="15.75" customHeight="1">
      <c r="D274" s="22"/>
    </row>
    <row r="275" spans="4:4" ht="15.75" customHeight="1">
      <c r="D275" s="22"/>
    </row>
    <row r="276" spans="4:4" ht="15.75" customHeight="1">
      <c r="D276" s="22"/>
    </row>
    <row r="277" spans="4:4" ht="15.75" customHeight="1">
      <c r="D277" s="22"/>
    </row>
    <row r="278" spans="4:4" ht="15.75" customHeight="1">
      <c r="D278" s="22"/>
    </row>
    <row r="279" spans="4:4" ht="15.75" customHeight="1">
      <c r="D279" s="22"/>
    </row>
    <row r="280" spans="4:4" ht="15.75" customHeight="1">
      <c r="D280" s="22"/>
    </row>
    <row r="281" spans="4:4" ht="15.75" customHeight="1">
      <c r="D281" s="22"/>
    </row>
    <row r="282" spans="4:4" ht="15.75" customHeight="1">
      <c r="D282" s="22"/>
    </row>
    <row r="283" spans="4:4" ht="15.75" customHeight="1">
      <c r="D283" s="22"/>
    </row>
    <row r="284" spans="4:4" ht="15.75" customHeight="1">
      <c r="D284" s="22"/>
    </row>
    <row r="285" spans="4:4" ht="15.75" customHeight="1">
      <c r="D285" s="22"/>
    </row>
    <row r="286" spans="4:4" ht="15.75" customHeight="1">
      <c r="D286" s="22"/>
    </row>
    <row r="287" spans="4:4" ht="15.75" customHeight="1">
      <c r="D287" s="22"/>
    </row>
    <row r="288" spans="4:4" ht="15.75" customHeight="1">
      <c r="D288" s="22"/>
    </row>
    <row r="289" spans="4:4" ht="15.75" customHeight="1">
      <c r="D289" s="22"/>
    </row>
    <row r="290" spans="4:4" ht="15.75" customHeight="1">
      <c r="D290" s="22"/>
    </row>
    <row r="291" spans="4:4" ht="15.75" customHeight="1">
      <c r="D291" s="22"/>
    </row>
    <row r="292" spans="4:4" ht="15.75" customHeight="1">
      <c r="D292" s="22"/>
    </row>
    <row r="293" spans="4:4" ht="15.75" customHeight="1">
      <c r="D293" s="22"/>
    </row>
    <row r="294" spans="4:4" ht="15.75" customHeight="1">
      <c r="D294" s="22"/>
    </row>
    <row r="295" spans="4:4" ht="15.75" customHeight="1">
      <c r="D295" s="22"/>
    </row>
    <row r="296" spans="4:4" ht="15.75" customHeight="1">
      <c r="D296" s="22"/>
    </row>
    <row r="297" spans="4:4" ht="15.75" customHeight="1">
      <c r="D297" s="22"/>
    </row>
    <row r="298" spans="4:4" ht="15.75" customHeight="1">
      <c r="D298" s="22"/>
    </row>
    <row r="299" spans="4:4" ht="15.75" customHeight="1">
      <c r="D299" s="22"/>
    </row>
    <row r="300" spans="4:4" ht="15.75" customHeight="1">
      <c r="D300" s="22"/>
    </row>
    <row r="301" spans="4:4" ht="15.75" customHeight="1">
      <c r="D301" s="22"/>
    </row>
    <row r="302" spans="4:4" ht="15.75" customHeight="1">
      <c r="D302" s="22"/>
    </row>
    <row r="303" spans="4:4" ht="15.75" customHeight="1">
      <c r="D303" s="22"/>
    </row>
    <row r="304" spans="4:4" ht="15.75" customHeight="1">
      <c r="D304" s="22"/>
    </row>
    <row r="305" spans="4:4" ht="15.75" customHeight="1">
      <c r="D305" s="22"/>
    </row>
    <row r="306" spans="4:4" ht="15.75" customHeight="1">
      <c r="D306" s="22"/>
    </row>
    <row r="307" spans="4:4" ht="15.75" customHeight="1">
      <c r="D307" s="22"/>
    </row>
    <row r="308" spans="4:4" ht="15.75" customHeight="1">
      <c r="D308" s="22"/>
    </row>
    <row r="309" spans="4:4" ht="15.75" customHeight="1">
      <c r="D309" s="22"/>
    </row>
    <row r="310" spans="4:4" ht="15.75" customHeight="1">
      <c r="D310" s="22"/>
    </row>
    <row r="311" spans="4:4" ht="15.75" customHeight="1">
      <c r="D311" s="22"/>
    </row>
    <row r="312" spans="4:4" ht="15.75" customHeight="1">
      <c r="D312" s="22"/>
    </row>
    <row r="313" spans="4:4" ht="15.75" customHeight="1">
      <c r="D313" s="22"/>
    </row>
    <row r="314" spans="4:4" ht="15.75" customHeight="1">
      <c r="D314" s="22"/>
    </row>
    <row r="315" spans="4:4" ht="15.75" customHeight="1">
      <c r="D315" s="22"/>
    </row>
    <row r="316" spans="4:4" ht="15.75" customHeight="1">
      <c r="D316" s="22"/>
    </row>
    <row r="317" spans="4:4" ht="15.75" customHeight="1">
      <c r="D317" s="22"/>
    </row>
    <row r="318" spans="4:4" ht="15.75" customHeight="1">
      <c r="D318" s="22"/>
    </row>
    <row r="319" spans="4:4" ht="15.75" customHeight="1">
      <c r="D319" s="22"/>
    </row>
    <row r="320" spans="4:4" ht="15.75" customHeight="1">
      <c r="D320" s="22"/>
    </row>
    <row r="321" spans="4:4" ht="15.75" customHeight="1">
      <c r="D321" s="22"/>
    </row>
    <row r="322" spans="4:4" ht="15.75" customHeight="1">
      <c r="D322" s="22"/>
    </row>
    <row r="323" spans="4:4" ht="15.75" customHeight="1">
      <c r="D323" s="22"/>
    </row>
    <row r="324" spans="4:4" ht="15.75" customHeight="1">
      <c r="D324" s="22"/>
    </row>
    <row r="325" spans="4:4" ht="15.75" customHeight="1">
      <c r="D325" s="22"/>
    </row>
    <row r="326" spans="4:4" ht="15.75" customHeight="1">
      <c r="D326" s="22"/>
    </row>
    <row r="327" spans="4:4" ht="15.75" customHeight="1">
      <c r="D327" s="22"/>
    </row>
    <row r="328" spans="4:4" ht="15.75" customHeight="1">
      <c r="D328" s="22"/>
    </row>
    <row r="329" spans="4:4" ht="15.75" customHeight="1">
      <c r="D329" s="22"/>
    </row>
    <row r="330" spans="4:4" ht="15.75" customHeight="1">
      <c r="D330" s="22"/>
    </row>
    <row r="331" spans="4:4" ht="15.75" customHeight="1">
      <c r="D331" s="22"/>
    </row>
    <row r="332" spans="4:4" ht="15.75" customHeight="1">
      <c r="D332" s="22"/>
    </row>
    <row r="333" spans="4:4" ht="15.75" customHeight="1">
      <c r="D333" s="22"/>
    </row>
    <row r="334" spans="4:4" ht="15.75" customHeight="1">
      <c r="D334" s="22"/>
    </row>
    <row r="335" spans="4:4" ht="15.75" customHeight="1">
      <c r="D335" s="22"/>
    </row>
    <row r="336" spans="4:4" ht="15.75" customHeight="1">
      <c r="D336" s="22"/>
    </row>
    <row r="337" spans="4:4" ht="15.75" customHeight="1">
      <c r="D337" s="22"/>
    </row>
    <row r="338" spans="4:4" ht="15.75" customHeight="1">
      <c r="D338" s="22"/>
    </row>
    <row r="339" spans="4:4" ht="15.75" customHeight="1">
      <c r="D339" s="22"/>
    </row>
    <row r="340" spans="4:4" ht="15.75" customHeight="1">
      <c r="D340" s="22"/>
    </row>
    <row r="341" spans="4:4" ht="15.75" customHeight="1">
      <c r="D341" s="22"/>
    </row>
    <row r="342" spans="4:4" ht="15.75" customHeight="1">
      <c r="D342" s="22"/>
    </row>
    <row r="343" spans="4:4" ht="15.75" customHeight="1">
      <c r="D343" s="22"/>
    </row>
    <row r="344" spans="4:4" ht="15.75" customHeight="1">
      <c r="D344" s="22"/>
    </row>
    <row r="345" spans="4:4" ht="15.75" customHeight="1">
      <c r="D345" s="22"/>
    </row>
    <row r="346" spans="4:4" ht="15.75" customHeight="1">
      <c r="D346" s="22"/>
    </row>
    <row r="347" spans="4:4" ht="15.75" customHeight="1">
      <c r="D347" s="22"/>
    </row>
    <row r="348" spans="4:4" ht="15.75" customHeight="1">
      <c r="D348" s="22"/>
    </row>
    <row r="349" spans="4:4" ht="15.75" customHeight="1">
      <c r="D349" s="22"/>
    </row>
    <row r="350" spans="4:4" ht="15.75" customHeight="1">
      <c r="D350" s="22"/>
    </row>
    <row r="351" spans="4:4" ht="15.75" customHeight="1">
      <c r="D351" s="22"/>
    </row>
    <row r="352" spans="4:4" ht="15.75" customHeight="1">
      <c r="D352" s="22"/>
    </row>
    <row r="353" spans="4:4" ht="15.75" customHeight="1">
      <c r="D353" s="22"/>
    </row>
    <row r="354" spans="4:4" ht="15.75" customHeight="1">
      <c r="D354" s="22"/>
    </row>
    <row r="355" spans="4:4" ht="15.75" customHeight="1">
      <c r="D355" s="22"/>
    </row>
    <row r="356" spans="4:4" ht="15.75" customHeight="1">
      <c r="D356" s="22"/>
    </row>
    <row r="357" spans="4:4" ht="15.75" customHeight="1">
      <c r="D357" s="22"/>
    </row>
    <row r="358" spans="4:4" ht="15.75" customHeight="1">
      <c r="D358" s="22"/>
    </row>
    <row r="359" spans="4:4" ht="15.75" customHeight="1">
      <c r="D359" s="22"/>
    </row>
    <row r="360" spans="4:4" ht="15.75" customHeight="1">
      <c r="D360" s="22"/>
    </row>
    <row r="361" spans="4:4" ht="15.75" customHeight="1">
      <c r="D361" s="22"/>
    </row>
    <row r="362" spans="4:4" ht="15.75" customHeight="1">
      <c r="D362" s="22"/>
    </row>
    <row r="363" spans="4:4" ht="15.75" customHeight="1">
      <c r="D363" s="22"/>
    </row>
    <row r="364" spans="4:4" ht="15.75" customHeight="1">
      <c r="D364" s="22"/>
    </row>
    <row r="365" spans="4:4" ht="15.75" customHeight="1">
      <c r="D365" s="22"/>
    </row>
    <row r="366" spans="4:4" ht="15.75" customHeight="1">
      <c r="D366" s="22"/>
    </row>
    <row r="367" spans="4:4" ht="15.75" customHeight="1">
      <c r="D367" s="22"/>
    </row>
    <row r="368" spans="4:4" ht="15.75" customHeight="1">
      <c r="D368" s="22"/>
    </row>
    <row r="369" spans="4:4" ht="15.75" customHeight="1">
      <c r="D369" s="22"/>
    </row>
    <row r="370" spans="4:4" ht="15.75" customHeight="1">
      <c r="D370" s="22"/>
    </row>
    <row r="371" spans="4:4" ht="15.75" customHeight="1">
      <c r="D371" s="22"/>
    </row>
    <row r="372" spans="4:4" ht="15.75" customHeight="1">
      <c r="D372" s="22"/>
    </row>
    <row r="373" spans="4:4" ht="15.75" customHeight="1">
      <c r="D373" s="22"/>
    </row>
    <row r="374" spans="4:4" ht="15.75" customHeight="1">
      <c r="D374" s="22"/>
    </row>
    <row r="375" spans="4:4" ht="15.75" customHeight="1">
      <c r="D375" s="22"/>
    </row>
    <row r="376" spans="4:4" ht="15.75" customHeight="1">
      <c r="D376" s="22"/>
    </row>
    <row r="377" spans="4:4" ht="15.75" customHeight="1">
      <c r="D377" s="22"/>
    </row>
    <row r="378" spans="4:4" ht="15.75" customHeight="1">
      <c r="D378" s="22"/>
    </row>
    <row r="379" spans="4:4" ht="15.75" customHeight="1">
      <c r="D379" s="22"/>
    </row>
    <row r="380" spans="4:4" ht="15.75" customHeight="1">
      <c r="D380" s="22"/>
    </row>
    <row r="381" spans="4:4" ht="15.75" customHeight="1">
      <c r="D381" s="22"/>
    </row>
    <row r="382" spans="4:4" ht="15.75" customHeight="1">
      <c r="D382" s="22"/>
    </row>
    <row r="383" spans="4:4" ht="15.75" customHeight="1">
      <c r="D383" s="22"/>
    </row>
    <row r="384" spans="4:4" ht="15.75" customHeight="1">
      <c r="D384" s="22"/>
    </row>
    <row r="385" spans="4:4" ht="15.75" customHeight="1">
      <c r="D385" s="22"/>
    </row>
    <row r="386" spans="4:4" ht="15.75" customHeight="1">
      <c r="D386" s="22"/>
    </row>
    <row r="387" spans="4:4" ht="15.75" customHeight="1">
      <c r="D387" s="22"/>
    </row>
    <row r="388" spans="4:4" ht="15.75" customHeight="1">
      <c r="D388" s="22"/>
    </row>
    <row r="389" spans="4:4" ht="15.75" customHeight="1">
      <c r="D389" s="22"/>
    </row>
    <row r="390" spans="4:4" ht="15.75" customHeight="1">
      <c r="D390" s="22"/>
    </row>
    <row r="391" spans="4:4" ht="15.75" customHeight="1">
      <c r="D391" s="22"/>
    </row>
    <row r="392" spans="4:4" ht="15.75" customHeight="1">
      <c r="D392" s="22"/>
    </row>
    <row r="393" spans="4:4" ht="15.75" customHeight="1">
      <c r="D393" s="22"/>
    </row>
    <row r="394" spans="4:4" ht="15.75" customHeight="1">
      <c r="D394" s="22"/>
    </row>
    <row r="395" spans="4:4" ht="15.75" customHeight="1">
      <c r="D395" s="22"/>
    </row>
    <row r="396" spans="4:4" ht="15.75" customHeight="1">
      <c r="D396" s="22"/>
    </row>
    <row r="397" spans="4:4" ht="15.75" customHeight="1">
      <c r="D397" s="22"/>
    </row>
    <row r="398" spans="4:4" ht="15.75" customHeight="1">
      <c r="D398" s="22"/>
    </row>
    <row r="399" spans="4:4" ht="15.75" customHeight="1">
      <c r="D399" s="22"/>
    </row>
    <row r="400" spans="4:4" ht="15.75" customHeight="1">
      <c r="D400" s="22"/>
    </row>
    <row r="401" spans="4:4" ht="15.75" customHeight="1">
      <c r="D401" s="22"/>
    </row>
    <row r="402" spans="4:4" ht="15.75" customHeight="1">
      <c r="D402" s="22"/>
    </row>
    <row r="403" spans="4:4" ht="15.75" customHeight="1">
      <c r="D403" s="22"/>
    </row>
    <row r="404" spans="4:4" ht="15.75" customHeight="1">
      <c r="D404" s="22"/>
    </row>
    <row r="405" spans="4:4" ht="15.75" customHeight="1">
      <c r="D405" s="22"/>
    </row>
    <row r="406" spans="4:4" ht="15.75" customHeight="1">
      <c r="D406" s="22"/>
    </row>
    <row r="407" spans="4:4" ht="15.75" customHeight="1">
      <c r="D407" s="22"/>
    </row>
    <row r="408" spans="4:4" ht="15.75" customHeight="1">
      <c r="D408" s="22"/>
    </row>
    <row r="409" spans="4:4" ht="15.75" customHeight="1">
      <c r="D409" s="22"/>
    </row>
    <row r="410" spans="4:4" ht="15.75" customHeight="1">
      <c r="D410" s="22"/>
    </row>
    <row r="411" spans="4:4" ht="15.75" customHeight="1">
      <c r="D411" s="22"/>
    </row>
    <row r="412" spans="4:4" ht="15.75" customHeight="1">
      <c r="D412" s="22"/>
    </row>
    <row r="413" spans="4:4" ht="15.75" customHeight="1">
      <c r="D413" s="22"/>
    </row>
    <row r="414" spans="4:4" ht="15.75" customHeight="1">
      <c r="D414" s="22"/>
    </row>
    <row r="415" spans="4:4" ht="15.75" customHeight="1">
      <c r="D415" s="22"/>
    </row>
    <row r="416" spans="4:4" ht="15.75" customHeight="1">
      <c r="D416" s="22"/>
    </row>
    <row r="417" spans="4:4" ht="15.75" customHeight="1">
      <c r="D417" s="22"/>
    </row>
    <row r="418" spans="4:4" ht="15.75" customHeight="1">
      <c r="D418" s="22"/>
    </row>
    <row r="419" spans="4:4" ht="15.75" customHeight="1">
      <c r="D419" s="22"/>
    </row>
    <row r="420" spans="4:4" ht="15.75" customHeight="1">
      <c r="D420" s="22"/>
    </row>
    <row r="421" spans="4:4" ht="15.75" customHeight="1">
      <c r="D421" s="22"/>
    </row>
    <row r="422" spans="4:4" ht="15.75" customHeight="1">
      <c r="D422" s="22"/>
    </row>
    <row r="423" spans="4:4" ht="15.75" customHeight="1">
      <c r="D423" s="22"/>
    </row>
    <row r="424" spans="4:4" ht="15.75" customHeight="1">
      <c r="D424" s="22"/>
    </row>
    <row r="425" spans="4:4" ht="15.75" customHeight="1">
      <c r="D425" s="22"/>
    </row>
    <row r="426" spans="4:4" ht="15.75" customHeight="1">
      <c r="D426" s="22"/>
    </row>
    <row r="427" spans="4:4" ht="15.75" customHeight="1">
      <c r="D427" s="22"/>
    </row>
    <row r="428" spans="4:4" ht="15.75" customHeight="1">
      <c r="D428" s="22"/>
    </row>
    <row r="429" spans="4:4" ht="15.75" customHeight="1">
      <c r="D429" s="22"/>
    </row>
    <row r="430" spans="4:4" ht="15.75" customHeight="1">
      <c r="D430" s="22"/>
    </row>
    <row r="431" spans="4:4" ht="15.75" customHeight="1">
      <c r="D431" s="22"/>
    </row>
    <row r="432" spans="4:4" ht="15.75" customHeight="1">
      <c r="D432" s="22"/>
    </row>
    <row r="433" spans="4:4" ht="15.75" customHeight="1">
      <c r="D433" s="22"/>
    </row>
    <row r="434" spans="4:4" ht="15.75" customHeight="1">
      <c r="D434" s="22"/>
    </row>
    <row r="435" spans="4:4" ht="15.75" customHeight="1">
      <c r="D435" s="22"/>
    </row>
    <row r="436" spans="4:4" ht="15.75" customHeight="1">
      <c r="D436" s="22"/>
    </row>
    <row r="437" spans="4:4" ht="15.75" customHeight="1">
      <c r="D437" s="22"/>
    </row>
    <row r="438" spans="4:4" ht="15.75" customHeight="1">
      <c r="D438" s="22"/>
    </row>
    <row r="439" spans="4:4" ht="15.75" customHeight="1">
      <c r="D439" s="22"/>
    </row>
    <row r="440" spans="4:4" ht="15.75" customHeight="1">
      <c r="D440" s="22"/>
    </row>
    <row r="441" spans="4:4" ht="15.75" customHeight="1">
      <c r="D441" s="22"/>
    </row>
    <row r="442" spans="4:4" ht="15.75" customHeight="1">
      <c r="D442" s="22"/>
    </row>
    <row r="443" spans="4:4" ht="15.75" customHeight="1">
      <c r="D443" s="22"/>
    </row>
    <row r="444" spans="4:4" ht="15.75" customHeight="1">
      <c r="D444" s="22"/>
    </row>
    <row r="445" spans="4:4" ht="15.75" customHeight="1">
      <c r="D445" s="22"/>
    </row>
    <row r="446" spans="4:4" ht="15.75" customHeight="1">
      <c r="D446" s="22"/>
    </row>
    <row r="447" spans="4:4" ht="15.75" customHeight="1">
      <c r="D447" s="22"/>
    </row>
    <row r="448" spans="4:4" ht="15.75" customHeight="1">
      <c r="D448" s="22"/>
    </row>
    <row r="449" spans="4:4" ht="15.75" customHeight="1">
      <c r="D449" s="22"/>
    </row>
    <row r="450" spans="4:4" ht="15.75" customHeight="1">
      <c r="D450" s="22"/>
    </row>
    <row r="451" spans="4:4" ht="15.75" customHeight="1">
      <c r="D451" s="22"/>
    </row>
    <row r="452" spans="4:4" ht="15.75" customHeight="1">
      <c r="D452" s="22"/>
    </row>
    <row r="453" spans="4:4" ht="15.75" customHeight="1">
      <c r="D453" s="22"/>
    </row>
    <row r="454" spans="4:4" ht="15.75" customHeight="1">
      <c r="D454" s="22"/>
    </row>
    <row r="455" spans="4:4" ht="15.75" customHeight="1">
      <c r="D455" s="22"/>
    </row>
    <row r="456" spans="4:4" ht="15.75" customHeight="1">
      <c r="D456" s="22"/>
    </row>
    <row r="457" spans="4:4" ht="15.75" customHeight="1">
      <c r="D457" s="22"/>
    </row>
    <row r="458" spans="4:4" ht="15.75" customHeight="1">
      <c r="D458" s="22"/>
    </row>
    <row r="459" spans="4:4" ht="15.75" customHeight="1">
      <c r="D459" s="22"/>
    </row>
    <row r="460" spans="4:4" ht="15.75" customHeight="1">
      <c r="D460" s="22"/>
    </row>
    <row r="461" spans="4:4" ht="15.75" customHeight="1">
      <c r="D461" s="22"/>
    </row>
    <row r="462" spans="4:4" ht="15.75" customHeight="1">
      <c r="D462" s="22"/>
    </row>
    <row r="463" spans="4:4" ht="15.75" customHeight="1">
      <c r="D463" s="22"/>
    </row>
    <row r="464" spans="4:4" ht="15.75" customHeight="1">
      <c r="D464" s="22"/>
    </row>
    <row r="465" spans="4:4" ht="15.75" customHeight="1">
      <c r="D465" s="22"/>
    </row>
    <row r="466" spans="4:4" ht="15.75" customHeight="1">
      <c r="D466" s="22"/>
    </row>
    <row r="467" spans="4:4" ht="15.75" customHeight="1">
      <c r="D467" s="22"/>
    </row>
    <row r="468" spans="4:4" ht="15.75" customHeight="1">
      <c r="D468" s="22"/>
    </row>
    <row r="469" spans="4:4" ht="15.75" customHeight="1">
      <c r="D469" s="22"/>
    </row>
    <row r="470" spans="4:4" ht="15.75" customHeight="1">
      <c r="D470" s="22"/>
    </row>
    <row r="471" spans="4:4" ht="15.75" customHeight="1">
      <c r="D471" s="22"/>
    </row>
    <row r="472" spans="4:4" ht="15.75" customHeight="1">
      <c r="D472" s="22"/>
    </row>
    <row r="473" spans="4:4" ht="15.75" customHeight="1">
      <c r="D473" s="22"/>
    </row>
    <row r="474" spans="4:4" ht="15.75" customHeight="1">
      <c r="D474" s="22"/>
    </row>
    <row r="475" spans="4:4" ht="15.75" customHeight="1">
      <c r="D475" s="22"/>
    </row>
    <row r="476" spans="4:4" ht="15.75" customHeight="1">
      <c r="D476" s="22"/>
    </row>
    <row r="477" spans="4:4" ht="15.75" customHeight="1">
      <c r="D477" s="22"/>
    </row>
    <row r="478" spans="4:4" ht="15.75" customHeight="1">
      <c r="D478" s="22"/>
    </row>
    <row r="479" spans="4:4" ht="15.75" customHeight="1">
      <c r="D479" s="22"/>
    </row>
    <row r="480" spans="4:4" ht="15.75" customHeight="1">
      <c r="D480" s="22"/>
    </row>
    <row r="481" spans="4:4" ht="15.75" customHeight="1">
      <c r="D481" s="22"/>
    </row>
    <row r="482" spans="4:4" ht="15.75" customHeight="1">
      <c r="D482" s="22"/>
    </row>
    <row r="483" spans="4:4" ht="15.75" customHeight="1">
      <c r="D483" s="22"/>
    </row>
    <row r="484" spans="4:4" ht="15.75" customHeight="1">
      <c r="D484" s="22"/>
    </row>
    <row r="485" spans="4:4" ht="15.75" customHeight="1">
      <c r="D485" s="22"/>
    </row>
    <row r="486" spans="4:4" ht="15.75" customHeight="1">
      <c r="D486" s="22"/>
    </row>
    <row r="487" spans="4:4" ht="15.75" customHeight="1">
      <c r="D487" s="22"/>
    </row>
    <row r="488" spans="4:4" ht="15.75" customHeight="1">
      <c r="D488" s="22"/>
    </row>
    <row r="489" spans="4:4" ht="15.75" customHeight="1">
      <c r="D489" s="22"/>
    </row>
    <row r="490" spans="4:4" ht="15.75" customHeight="1">
      <c r="D490" s="22"/>
    </row>
    <row r="491" spans="4:4" ht="15.75" customHeight="1">
      <c r="D491" s="22"/>
    </row>
    <row r="492" spans="4:4" ht="15.75" customHeight="1">
      <c r="D492" s="22"/>
    </row>
    <row r="493" spans="4:4" ht="15.75" customHeight="1">
      <c r="D493" s="22"/>
    </row>
    <row r="494" spans="4:4" ht="15.75" customHeight="1">
      <c r="D494" s="22"/>
    </row>
    <row r="495" spans="4:4" ht="15.75" customHeight="1">
      <c r="D495" s="22"/>
    </row>
    <row r="496" spans="4:4" ht="15.75" customHeight="1">
      <c r="D496" s="22"/>
    </row>
    <row r="497" spans="4:4" ht="15.75" customHeight="1">
      <c r="D497" s="22"/>
    </row>
    <row r="498" spans="4:4" ht="15.75" customHeight="1">
      <c r="D498" s="22"/>
    </row>
    <row r="499" spans="4:4" ht="15.75" customHeight="1">
      <c r="D499" s="22"/>
    </row>
    <row r="500" spans="4:4" ht="15.75" customHeight="1">
      <c r="D500" s="22"/>
    </row>
    <row r="501" spans="4:4" ht="15.75" customHeight="1">
      <c r="D501" s="22"/>
    </row>
    <row r="502" spans="4:4" ht="15.75" customHeight="1">
      <c r="D502" s="22"/>
    </row>
    <row r="503" spans="4:4" ht="15.75" customHeight="1">
      <c r="D503" s="22"/>
    </row>
    <row r="504" spans="4:4" ht="15.75" customHeight="1">
      <c r="D504" s="22"/>
    </row>
    <row r="505" spans="4:4" ht="15.75" customHeight="1">
      <c r="D505" s="22"/>
    </row>
    <row r="506" spans="4:4" ht="15.75" customHeight="1">
      <c r="D506" s="22"/>
    </row>
    <row r="507" spans="4:4" ht="15.75" customHeight="1">
      <c r="D507" s="22"/>
    </row>
    <row r="508" spans="4:4" ht="15.75" customHeight="1">
      <c r="D508" s="22"/>
    </row>
    <row r="509" spans="4:4" ht="15.75" customHeight="1">
      <c r="D509" s="22"/>
    </row>
    <row r="510" spans="4:4" ht="15.75" customHeight="1">
      <c r="D510" s="22"/>
    </row>
    <row r="511" spans="4:4" ht="15.75" customHeight="1">
      <c r="D511" s="22"/>
    </row>
    <row r="512" spans="4:4" ht="15.75" customHeight="1">
      <c r="D512" s="22"/>
    </row>
    <row r="513" spans="4:4" ht="15.75" customHeight="1">
      <c r="D513" s="22"/>
    </row>
    <row r="514" spans="4:4" ht="15.75" customHeight="1">
      <c r="D514" s="22"/>
    </row>
    <row r="515" spans="4:4" ht="15.75" customHeight="1">
      <c r="D515" s="22"/>
    </row>
    <row r="516" spans="4:4" ht="15.75" customHeight="1">
      <c r="D516" s="22"/>
    </row>
    <row r="517" spans="4:4" ht="15.75" customHeight="1">
      <c r="D517" s="22"/>
    </row>
    <row r="518" spans="4:4" ht="15.75" customHeight="1">
      <c r="D518" s="22"/>
    </row>
    <row r="519" spans="4:4" ht="15.75" customHeight="1">
      <c r="D519" s="22"/>
    </row>
    <row r="520" spans="4:4" ht="15.75" customHeight="1">
      <c r="D520" s="22"/>
    </row>
    <row r="521" spans="4:4" ht="15.75" customHeight="1">
      <c r="D521" s="22"/>
    </row>
    <row r="522" spans="4:4" ht="15.75" customHeight="1">
      <c r="D522" s="22"/>
    </row>
    <row r="523" spans="4:4" ht="15.75" customHeight="1">
      <c r="D523" s="22"/>
    </row>
    <row r="524" spans="4:4" ht="15.75" customHeight="1">
      <c r="D524" s="22"/>
    </row>
    <row r="525" spans="4:4" ht="15.75" customHeight="1">
      <c r="D525" s="22"/>
    </row>
    <row r="526" spans="4:4" ht="15.75" customHeight="1">
      <c r="D526" s="22"/>
    </row>
    <row r="527" spans="4:4" ht="15.75" customHeight="1">
      <c r="D527" s="22"/>
    </row>
    <row r="528" spans="4:4" ht="15.75" customHeight="1">
      <c r="D528" s="22"/>
    </row>
    <row r="529" spans="4:4" ht="15.75" customHeight="1">
      <c r="D529" s="22"/>
    </row>
    <row r="530" spans="4:4" ht="15.75" customHeight="1">
      <c r="D530" s="22"/>
    </row>
    <row r="531" spans="4:4" ht="15.75" customHeight="1">
      <c r="D531" s="22"/>
    </row>
    <row r="532" spans="4:4" ht="15.75" customHeight="1">
      <c r="D532" s="22"/>
    </row>
    <row r="533" spans="4:4" ht="15.75" customHeight="1">
      <c r="D533" s="22"/>
    </row>
    <row r="534" spans="4:4" ht="15.75" customHeight="1">
      <c r="D534" s="22"/>
    </row>
    <row r="535" spans="4:4" ht="15.75" customHeight="1">
      <c r="D535" s="22"/>
    </row>
    <row r="536" spans="4:4" ht="15.75" customHeight="1">
      <c r="D536" s="22"/>
    </row>
    <row r="537" spans="4:4" ht="15.75" customHeight="1">
      <c r="D537" s="22"/>
    </row>
    <row r="538" spans="4:4" ht="15.75" customHeight="1">
      <c r="D538" s="22"/>
    </row>
    <row r="539" spans="4:4" ht="15.75" customHeight="1">
      <c r="D539" s="22"/>
    </row>
    <row r="540" spans="4:4" ht="15.75" customHeight="1">
      <c r="D540" s="22"/>
    </row>
    <row r="541" spans="4:4" ht="15.75" customHeight="1">
      <c r="D541" s="22"/>
    </row>
    <row r="542" spans="4:4" ht="15.75" customHeight="1">
      <c r="D542" s="22"/>
    </row>
    <row r="543" spans="4:4" ht="15.75" customHeight="1">
      <c r="D543" s="22"/>
    </row>
    <row r="544" spans="4:4" ht="15.75" customHeight="1">
      <c r="D544" s="22"/>
    </row>
    <row r="545" spans="4:4" ht="15.75" customHeight="1">
      <c r="D545" s="22"/>
    </row>
    <row r="546" spans="4:4" ht="15.75" customHeight="1">
      <c r="D546" s="22"/>
    </row>
    <row r="547" spans="4:4" ht="15.75" customHeight="1">
      <c r="D547" s="22"/>
    </row>
    <row r="548" spans="4:4" ht="15.75" customHeight="1">
      <c r="D548" s="22"/>
    </row>
    <row r="549" spans="4:4" ht="15.75" customHeight="1">
      <c r="D549" s="22"/>
    </row>
    <row r="550" spans="4:4" ht="15.75" customHeight="1">
      <c r="D550" s="22"/>
    </row>
    <row r="551" spans="4:4" ht="15.75" customHeight="1">
      <c r="D551" s="22"/>
    </row>
    <row r="552" spans="4:4" ht="15.75" customHeight="1">
      <c r="D552" s="22"/>
    </row>
    <row r="553" spans="4:4" ht="15.75" customHeight="1">
      <c r="D553" s="22"/>
    </row>
    <row r="554" spans="4:4" ht="15.75" customHeight="1">
      <c r="D554" s="22"/>
    </row>
    <row r="555" spans="4:4" ht="15.75" customHeight="1">
      <c r="D555" s="22"/>
    </row>
    <row r="556" spans="4:4" ht="15.75" customHeight="1">
      <c r="D556" s="22"/>
    </row>
    <row r="557" spans="4:4" ht="15.75" customHeight="1">
      <c r="D557" s="22"/>
    </row>
    <row r="558" spans="4:4" ht="15.75" customHeight="1">
      <c r="D558" s="22"/>
    </row>
    <row r="559" spans="4:4" ht="15.75" customHeight="1">
      <c r="D559" s="22"/>
    </row>
    <row r="560" spans="4:4" ht="15.75" customHeight="1">
      <c r="D560" s="22"/>
    </row>
    <row r="561" spans="4:4" ht="15.75" customHeight="1">
      <c r="D561" s="22"/>
    </row>
    <row r="562" spans="4:4" ht="15.75" customHeight="1">
      <c r="D562" s="22"/>
    </row>
    <row r="563" spans="4:4" ht="15.75" customHeight="1">
      <c r="D563" s="22"/>
    </row>
    <row r="564" spans="4:4" ht="15.75" customHeight="1">
      <c r="D564" s="22"/>
    </row>
    <row r="565" spans="4:4" ht="15.75" customHeight="1">
      <c r="D565" s="22"/>
    </row>
    <row r="566" spans="4:4" ht="15.75" customHeight="1">
      <c r="D566" s="22"/>
    </row>
    <row r="567" spans="4:4" ht="15.75" customHeight="1">
      <c r="D567" s="22"/>
    </row>
    <row r="568" spans="4:4" ht="15.75" customHeight="1">
      <c r="D568" s="22"/>
    </row>
    <row r="569" spans="4:4" ht="15.75" customHeight="1">
      <c r="D569" s="22"/>
    </row>
    <row r="570" spans="4:4" ht="15.75" customHeight="1">
      <c r="D570" s="22"/>
    </row>
    <row r="571" spans="4:4" ht="15.75" customHeight="1">
      <c r="D571" s="22"/>
    </row>
    <row r="572" spans="4:4" ht="15.75" customHeight="1">
      <c r="D572" s="22"/>
    </row>
    <row r="573" spans="4:4" ht="15.75" customHeight="1">
      <c r="D573" s="22"/>
    </row>
    <row r="574" spans="4:4" ht="15.75" customHeight="1">
      <c r="D574" s="22"/>
    </row>
    <row r="575" spans="4:4" ht="15.75" customHeight="1">
      <c r="D575" s="22"/>
    </row>
    <row r="576" spans="4:4" ht="15.75" customHeight="1">
      <c r="D576" s="22"/>
    </row>
    <row r="577" spans="4:4" ht="15.75" customHeight="1">
      <c r="D577" s="22"/>
    </row>
    <row r="578" spans="4:4" ht="15.75" customHeight="1">
      <c r="D578" s="22"/>
    </row>
    <row r="579" spans="4:4" ht="15.75" customHeight="1">
      <c r="D579" s="22"/>
    </row>
    <row r="580" spans="4:4" ht="15.75" customHeight="1">
      <c r="D580" s="22"/>
    </row>
    <row r="581" spans="4:4" ht="15.75" customHeight="1">
      <c r="D581" s="22"/>
    </row>
    <row r="582" spans="4:4" ht="15.75" customHeight="1">
      <c r="D582" s="22"/>
    </row>
    <row r="583" spans="4:4" ht="15.75" customHeight="1">
      <c r="D583" s="22"/>
    </row>
    <row r="584" spans="4:4" ht="15.75" customHeight="1">
      <c r="D584" s="22"/>
    </row>
    <row r="585" spans="4:4" ht="15.75" customHeight="1">
      <c r="D585" s="22"/>
    </row>
    <row r="586" spans="4:4" ht="15.75" customHeight="1">
      <c r="D586" s="22"/>
    </row>
    <row r="587" spans="4:4" ht="15.75" customHeight="1">
      <c r="D587" s="22"/>
    </row>
    <row r="588" spans="4:4" ht="15.75" customHeight="1">
      <c r="D588" s="22"/>
    </row>
    <row r="589" spans="4:4" ht="15.75" customHeight="1">
      <c r="D589" s="22"/>
    </row>
    <row r="590" spans="4:4" ht="15.75" customHeight="1">
      <c r="D590" s="22"/>
    </row>
    <row r="591" spans="4:4" ht="15.75" customHeight="1">
      <c r="D591" s="22"/>
    </row>
    <row r="592" spans="4:4" ht="15.75" customHeight="1">
      <c r="D592" s="22"/>
    </row>
    <row r="593" spans="4:4" ht="15.75" customHeight="1">
      <c r="D593" s="22"/>
    </row>
    <row r="594" spans="4:4" ht="15.75" customHeight="1">
      <c r="D594" s="22"/>
    </row>
    <row r="595" spans="4:4" ht="15.75" customHeight="1">
      <c r="D595" s="22"/>
    </row>
    <row r="596" spans="4:4" ht="15.75" customHeight="1">
      <c r="D596" s="22"/>
    </row>
    <row r="597" spans="4:4" ht="15.75" customHeight="1">
      <c r="D597" s="22"/>
    </row>
    <row r="598" spans="4:4" ht="15.75" customHeight="1">
      <c r="D598" s="22"/>
    </row>
    <row r="599" spans="4:4" ht="15.75" customHeight="1">
      <c r="D599" s="22"/>
    </row>
    <row r="600" spans="4:4" ht="15.75" customHeight="1">
      <c r="D600" s="22"/>
    </row>
    <row r="601" spans="4:4" ht="15.75" customHeight="1">
      <c r="D601" s="22"/>
    </row>
    <row r="602" spans="4:4" ht="15.75" customHeight="1">
      <c r="D602" s="22"/>
    </row>
    <row r="603" spans="4:4" ht="15.75" customHeight="1">
      <c r="D603" s="22"/>
    </row>
    <row r="604" spans="4:4" ht="15.75" customHeight="1">
      <c r="D604" s="22"/>
    </row>
    <row r="605" spans="4:4" ht="15.75" customHeight="1">
      <c r="D605" s="22"/>
    </row>
    <row r="606" spans="4:4" ht="15.75" customHeight="1">
      <c r="D606" s="22"/>
    </row>
    <row r="607" spans="4:4" ht="15.75" customHeight="1">
      <c r="D607" s="22"/>
    </row>
    <row r="608" spans="4:4" ht="15.75" customHeight="1">
      <c r="D608" s="22"/>
    </row>
    <row r="609" spans="4:4" ht="15.75" customHeight="1">
      <c r="D609" s="22"/>
    </row>
    <row r="610" spans="4:4" ht="15.75" customHeight="1">
      <c r="D610" s="22"/>
    </row>
    <row r="611" spans="4:4" ht="15.75" customHeight="1">
      <c r="D611" s="22"/>
    </row>
    <row r="612" spans="4:4" ht="15.75" customHeight="1">
      <c r="D612" s="22"/>
    </row>
    <row r="613" spans="4:4" ht="15.75" customHeight="1">
      <c r="D613" s="22"/>
    </row>
    <row r="614" spans="4:4" ht="15.75" customHeight="1">
      <c r="D614" s="22"/>
    </row>
    <row r="615" spans="4:4" ht="15.75" customHeight="1">
      <c r="D615" s="22"/>
    </row>
    <row r="616" spans="4:4" ht="15.75" customHeight="1">
      <c r="D616" s="22"/>
    </row>
    <row r="617" spans="4:4" ht="15.75" customHeight="1">
      <c r="D617" s="22"/>
    </row>
    <row r="618" spans="4:4" ht="15.75" customHeight="1">
      <c r="D618" s="22"/>
    </row>
    <row r="619" spans="4:4" ht="15.75" customHeight="1">
      <c r="D619" s="22"/>
    </row>
    <row r="620" spans="4:4" ht="15.75" customHeight="1">
      <c r="D620" s="22"/>
    </row>
    <row r="621" spans="4:4" ht="15.75" customHeight="1">
      <c r="D621" s="22"/>
    </row>
    <row r="622" spans="4:4" ht="15.75" customHeight="1">
      <c r="D622" s="22"/>
    </row>
    <row r="623" spans="4:4" ht="15.75" customHeight="1">
      <c r="D623" s="22"/>
    </row>
    <row r="624" spans="4:4" ht="15.75" customHeight="1">
      <c r="D624" s="22"/>
    </row>
    <row r="625" spans="4:4" ht="15.75" customHeight="1">
      <c r="D625" s="22"/>
    </row>
    <row r="626" spans="4:4" ht="15.75" customHeight="1">
      <c r="D626" s="22"/>
    </row>
    <row r="627" spans="4:4" ht="15.75" customHeight="1">
      <c r="D627" s="22"/>
    </row>
    <row r="628" spans="4:4" ht="15.75" customHeight="1">
      <c r="D628" s="22"/>
    </row>
    <row r="629" spans="4:4" ht="15.75" customHeight="1">
      <c r="D629" s="22"/>
    </row>
    <row r="630" spans="4:4" ht="15.75" customHeight="1">
      <c r="D630" s="22"/>
    </row>
    <row r="631" spans="4:4" ht="15.75" customHeight="1">
      <c r="D631" s="22"/>
    </row>
    <row r="632" spans="4:4" ht="15.75" customHeight="1">
      <c r="D632" s="22"/>
    </row>
    <row r="633" spans="4:4" ht="15.75" customHeight="1">
      <c r="D633" s="22"/>
    </row>
    <row r="634" spans="4:4" ht="15.75" customHeight="1">
      <c r="D634" s="22"/>
    </row>
    <row r="635" spans="4:4" ht="15.75" customHeight="1">
      <c r="D635" s="22"/>
    </row>
    <row r="636" spans="4:4" ht="15.75" customHeight="1">
      <c r="D636" s="22"/>
    </row>
    <row r="637" spans="4:4" ht="15.75" customHeight="1">
      <c r="D637" s="22"/>
    </row>
    <row r="638" spans="4:4" ht="15.75" customHeight="1">
      <c r="D638" s="22"/>
    </row>
    <row r="639" spans="4:4" ht="15.75" customHeight="1">
      <c r="D639" s="22"/>
    </row>
    <row r="640" spans="4:4" ht="15.75" customHeight="1">
      <c r="D640" s="22"/>
    </row>
    <row r="641" spans="4:4" ht="15.75" customHeight="1">
      <c r="D641" s="22"/>
    </row>
    <row r="642" spans="4:4" ht="15.75" customHeight="1">
      <c r="D642" s="22"/>
    </row>
    <row r="643" spans="4:4" ht="15.75" customHeight="1">
      <c r="D643" s="22"/>
    </row>
    <row r="644" spans="4:4" ht="15.75" customHeight="1">
      <c r="D644" s="22"/>
    </row>
    <row r="645" spans="4:4" ht="15.75" customHeight="1">
      <c r="D645" s="22"/>
    </row>
    <row r="646" spans="4:4" ht="15.75" customHeight="1">
      <c r="D646" s="22"/>
    </row>
    <row r="647" spans="4:4" ht="15.75" customHeight="1">
      <c r="D647" s="22"/>
    </row>
    <row r="648" spans="4:4" ht="15.75" customHeight="1">
      <c r="D648" s="22"/>
    </row>
    <row r="649" spans="4:4" ht="15.75" customHeight="1">
      <c r="D649" s="22"/>
    </row>
    <row r="650" spans="4:4" ht="15.75" customHeight="1">
      <c r="D650" s="22"/>
    </row>
    <row r="651" spans="4:4" ht="15.75" customHeight="1">
      <c r="D651" s="22"/>
    </row>
    <row r="652" spans="4:4" ht="15.75" customHeight="1">
      <c r="D652" s="22"/>
    </row>
    <row r="653" spans="4:4" ht="15.75" customHeight="1">
      <c r="D653" s="22"/>
    </row>
    <row r="654" spans="4:4" ht="15.75" customHeight="1">
      <c r="D654" s="22"/>
    </row>
    <row r="655" spans="4:4" ht="15.75" customHeight="1">
      <c r="D655" s="22"/>
    </row>
    <row r="656" spans="4:4" ht="15.75" customHeight="1">
      <c r="D656" s="22"/>
    </row>
    <row r="657" spans="4:4" ht="15.75" customHeight="1">
      <c r="D657" s="22"/>
    </row>
    <row r="658" spans="4:4" ht="15.75" customHeight="1">
      <c r="D658" s="22"/>
    </row>
    <row r="659" spans="4:4" ht="15.75" customHeight="1">
      <c r="D659" s="22"/>
    </row>
    <row r="660" spans="4:4" ht="15.75" customHeight="1">
      <c r="D660" s="22"/>
    </row>
    <row r="661" spans="4:4" ht="15.75" customHeight="1">
      <c r="D661" s="22"/>
    </row>
    <row r="662" spans="4:4" ht="15.75" customHeight="1">
      <c r="D662" s="22"/>
    </row>
    <row r="663" spans="4:4" ht="15.75" customHeight="1">
      <c r="D663" s="22"/>
    </row>
    <row r="664" spans="4:4" ht="15.75" customHeight="1">
      <c r="D664" s="22"/>
    </row>
    <row r="665" spans="4:4" ht="15.75" customHeight="1">
      <c r="D665" s="22"/>
    </row>
    <row r="666" spans="4:4" ht="15.75" customHeight="1">
      <c r="D666" s="22"/>
    </row>
    <row r="667" spans="4:4" ht="15.75" customHeight="1">
      <c r="D667" s="22"/>
    </row>
    <row r="668" spans="4:4" ht="15.75" customHeight="1">
      <c r="D668" s="22"/>
    </row>
    <row r="669" spans="4:4" ht="15.75" customHeight="1">
      <c r="D669" s="22"/>
    </row>
    <row r="670" spans="4:4" ht="15.75" customHeight="1">
      <c r="D670" s="22"/>
    </row>
    <row r="671" spans="4:4" ht="15.75" customHeight="1">
      <c r="D671" s="22"/>
    </row>
    <row r="672" spans="4:4" ht="15.75" customHeight="1">
      <c r="D672" s="22"/>
    </row>
    <row r="673" spans="4:4" ht="15.75" customHeight="1">
      <c r="D673" s="22"/>
    </row>
    <row r="674" spans="4:4" ht="15.75" customHeight="1">
      <c r="D674" s="22"/>
    </row>
    <row r="675" spans="4:4" ht="15.75" customHeight="1">
      <c r="D675" s="22"/>
    </row>
    <row r="676" spans="4:4" ht="15.75" customHeight="1">
      <c r="D676" s="22"/>
    </row>
    <row r="677" spans="4:4" ht="15.75" customHeight="1">
      <c r="D677" s="22"/>
    </row>
    <row r="678" spans="4:4" ht="15.75" customHeight="1">
      <c r="D678" s="22"/>
    </row>
    <row r="679" spans="4:4" ht="15.75" customHeight="1">
      <c r="D679" s="22"/>
    </row>
    <row r="680" spans="4:4" ht="15.75" customHeight="1">
      <c r="D680" s="22"/>
    </row>
    <row r="681" spans="4:4" ht="15.75" customHeight="1">
      <c r="D681" s="22"/>
    </row>
    <row r="682" spans="4:4" ht="15.75" customHeight="1">
      <c r="D682" s="22"/>
    </row>
    <row r="683" spans="4:4" ht="15.75" customHeight="1">
      <c r="D683" s="22"/>
    </row>
    <row r="684" spans="4:4" ht="15.75" customHeight="1">
      <c r="D684" s="22"/>
    </row>
    <row r="685" spans="4:4" ht="15.75" customHeight="1">
      <c r="D685" s="22"/>
    </row>
    <row r="686" spans="4:4" ht="15.75" customHeight="1">
      <c r="D686" s="22"/>
    </row>
    <row r="687" spans="4:4" ht="15.75" customHeight="1">
      <c r="D687" s="22"/>
    </row>
    <row r="688" spans="4:4" ht="15.75" customHeight="1">
      <c r="D688" s="22"/>
    </row>
    <row r="689" spans="4:4" ht="15.75" customHeight="1">
      <c r="D689" s="22"/>
    </row>
    <row r="690" spans="4:4" ht="15.75" customHeight="1">
      <c r="D690" s="22"/>
    </row>
    <row r="691" spans="4:4" ht="15.75" customHeight="1">
      <c r="D691" s="22"/>
    </row>
    <row r="692" spans="4:4" ht="15.75" customHeight="1">
      <c r="D692" s="22"/>
    </row>
    <row r="693" spans="4:4" ht="15.75" customHeight="1">
      <c r="D693" s="22"/>
    </row>
    <row r="694" spans="4:4" ht="15.75" customHeight="1">
      <c r="D694" s="22"/>
    </row>
    <row r="695" spans="4:4" ht="15.75" customHeight="1">
      <c r="D695" s="22"/>
    </row>
    <row r="696" spans="4:4" ht="15.75" customHeight="1">
      <c r="D696" s="22"/>
    </row>
    <row r="697" spans="4:4" ht="15.75" customHeight="1">
      <c r="D697" s="22"/>
    </row>
    <row r="698" spans="4:4" ht="15.75" customHeight="1">
      <c r="D698" s="22"/>
    </row>
    <row r="699" spans="4:4" ht="15.75" customHeight="1">
      <c r="D699" s="22"/>
    </row>
    <row r="700" spans="4:4" ht="15.75" customHeight="1">
      <c r="D700" s="22"/>
    </row>
    <row r="701" spans="4:4" ht="15.75" customHeight="1">
      <c r="D701" s="22"/>
    </row>
    <row r="702" spans="4:4" ht="15.75" customHeight="1">
      <c r="D702" s="22"/>
    </row>
    <row r="703" spans="4:4" ht="15.75" customHeight="1">
      <c r="D703" s="22"/>
    </row>
    <row r="704" spans="4:4" ht="15.75" customHeight="1">
      <c r="D704" s="22"/>
    </row>
    <row r="705" spans="4:4" ht="15.75" customHeight="1">
      <c r="D705" s="22"/>
    </row>
    <row r="706" spans="4:4" ht="15.75" customHeight="1">
      <c r="D706" s="22"/>
    </row>
    <row r="707" spans="4:4" ht="15.75" customHeight="1">
      <c r="D707" s="22"/>
    </row>
    <row r="708" spans="4:4" ht="15.75" customHeight="1">
      <c r="D708" s="22"/>
    </row>
    <row r="709" spans="4:4" ht="15.75" customHeight="1">
      <c r="D709" s="22"/>
    </row>
    <row r="710" spans="4:4" ht="15.75" customHeight="1">
      <c r="D710" s="22"/>
    </row>
    <row r="711" spans="4:4" ht="15.75" customHeight="1">
      <c r="D711" s="22"/>
    </row>
    <row r="712" spans="4:4" ht="15.75" customHeight="1">
      <c r="D712" s="22"/>
    </row>
    <row r="713" spans="4:4" ht="15.75" customHeight="1">
      <c r="D713" s="22"/>
    </row>
    <row r="714" spans="4:4" ht="15.75" customHeight="1">
      <c r="D714" s="22"/>
    </row>
    <row r="715" spans="4:4" ht="15.75" customHeight="1">
      <c r="D715" s="22"/>
    </row>
    <row r="716" spans="4:4" ht="15.75" customHeight="1">
      <c r="D716" s="22"/>
    </row>
    <row r="717" spans="4:4" ht="15.75" customHeight="1">
      <c r="D717" s="22"/>
    </row>
    <row r="718" spans="4:4" ht="15.75" customHeight="1">
      <c r="D718" s="22"/>
    </row>
    <row r="719" spans="4:4" ht="15.75" customHeight="1">
      <c r="D719" s="22"/>
    </row>
    <row r="720" spans="4:4" ht="15.75" customHeight="1">
      <c r="D720" s="22"/>
    </row>
    <row r="721" spans="4:4" ht="15.75" customHeight="1">
      <c r="D721" s="22"/>
    </row>
    <row r="722" spans="4:4" ht="15.75" customHeight="1">
      <c r="D722" s="22"/>
    </row>
    <row r="723" spans="4:4" ht="15.75" customHeight="1">
      <c r="D723" s="22"/>
    </row>
    <row r="724" spans="4:4" ht="15.75" customHeight="1">
      <c r="D724" s="22"/>
    </row>
    <row r="725" spans="4:4" ht="15.75" customHeight="1">
      <c r="D725" s="22"/>
    </row>
    <row r="726" spans="4:4" ht="15.75" customHeight="1">
      <c r="D726" s="22"/>
    </row>
    <row r="727" spans="4:4" ht="15.75" customHeight="1">
      <c r="D727" s="22"/>
    </row>
    <row r="728" spans="4:4" ht="15.75" customHeight="1">
      <c r="D728" s="22"/>
    </row>
    <row r="729" spans="4:4" ht="15.75" customHeight="1">
      <c r="D729" s="22"/>
    </row>
    <row r="730" spans="4:4" ht="15.75" customHeight="1">
      <c r="D730" s="22"/>
    </row>
    <row r="731" spans="4:4" ht="15.75" customHeight="1">
      <c r="D731" s="22"/>
    </row>
    <row r="732" spans="4:4" ht="15.75" customHeight="1">
      <c r="D732" s="22"/>
    </row>
    <row r="733" spans="4:4" ht="15.75" customHeight="1">
      <c r="D733" s="22"/>
    </row>
    <row r="734" spans="4:4" ht="15.75" customHeight="1">
      <c r="D734" s="22"/>
    </row>
    <row r="735" spans="4:4" ht="15.75" customHeight="1">
      <c r="D735" s="22"/>
    </row>
    <row r="736" spans="4:4" ht="15.75" customHeight="1">
      <c r="D736" s="22"/>
    </row>
    <row r="737" spans="4:4" ht="15.75" customHeight="1">
      <c r="D737" s="22"/>
    </row>
    <row r="738" spans="4:4" ht="15.75" customHeight="1">
      <c r="D738" s="22"/>
    </row>
    <row r="739" spans="4:4" ht="15.75" customHeight="1">
      <c r="D739" s="22"/>
    </row>
    <row r="740" spans="4:4" ht="15.75" customHeight="1">
      <c r="D740" s="22"/>
    </row>
    <row r="741" spans="4:4" ht="15.75" customHeight="1">
      <c r="D741" s="22"/>
    </row>
    <row r="742" spans="4:4" ht="15.75" customHeight="1">
      <c r="D742" s="22"/>
    </row>
    <row r="743" spans="4:4" ht="15.75" customHeight="1">
      <c r="D743" s="22"/>
    </row>
    <row r="744" spans="4:4" ht="15.75" customHeight="1">
      <c r="D744" s="22"/>
    </row>
    <row r="745" spans="4:4" ht="15.75" customHeight="1">
      <c r="D745" s="22"/>
    </row>
    <row r="746" spans="4:4" ht="15.75" customHeight="1">
      <c r="D746" s="22"/>
    </row>
    <row r="747" spans="4:4" ht="15.75" customHeight="1">
      <c r="D747" s="22"/>
    </row>
    <row r="748" spans="4:4" ht="15.75" customHeight="1">
      <c r="D748" s="22"/>
    </row>
    <row r="749" spans="4:4" ht="15.75" customHeight="1">
      <c r="D749" s="22"/>
    </row>
    <row r="750" spans="4:4" ht="15.75" customHeight="1">
      <c r="D750" s="22"/>
    </row>
    <row r="751" spans="4:4" ht="15.75" customHeight="1">
      <c r="D751" s="22"/>
    </row>
    <row r="752" spans="4:4" ht="15.75" customHeight="1">
      <c r="D752" s="22"/>
    </row>
    <row r="753" spans="4:4" ht="15.75" customHeight="1">
      <c r="D753" s="22"/>
    </row>
    <row r="754" spans="4:4" ht="15.75" customHeight="1">
      <c r="D754" s="22"/>
    </row>
    <row r="755" spans="4:4" ht="15.75" customHeight="1">
      <c r="D755" s="22"/>
    </row>
    <row r="756" spans="4:4" ht="15.75" customHeight="1">
      <c r="D756" s="22"/>
    </row>
    <row r="757" spans="4:4" ht="15.75" customHeight="1">
      <c r="D757" s="22"/>
    </row>
    <row r="758" spans="4:4" ht="15.75" customHeight="1">
      <c r="D758" s="22"/>
    </row>
    <row r="759" spans="4:4" ht="15.75" customHeight="1">
      <c r="D759" s="22"/>
    </row>
    <row r="760" spans="4:4" ht="15.75" customHeight="1">
      <c r="D760" s="22"/>
    </row>
    <row r="761" spans="4:4" ht="15.75" customHeight="1">
      <c r="D761" s="22"/>
    </row>
    <row r="762" spans="4:4" ht="15.75" customHeight="1">
      <c r="D762" s="22"/>
    </row>
    <row r="763" spans="4:4" ht="15.75" customHeight="1">
      <c r="D763" s="22"/>
    </row>
    <row r="764" spans="4:4" ht="15.75" customHeight="1">
      <c r="D764" s="22"/>
    </row>
    <row r="765" spans="4:4" ht="15.75" customHeight="1">
      <c r="D765" s="22"/>
    </row>
    <row r="766" spans="4:4" ht="15.75" customHeight="1">
      <c r="D766" s="22"/>
    </row>
    <row r="767" spans="4:4" ht="15.75" customHeight="1">
      <c r="D767" s="22"/>
    </row>
    <row r="768" spans="4:4" ht="15.75" customHeight="1">
      <c r="D768" s="22"/>
    </row>
    <row r="769" spans="4:4" ht="15.75" customHeight="1">
      <c r="D769" s="22"/>
    </row>
    <row r="770" spans="4:4" ht="15.75" customHeight="1">
      <c r="D770" s="22"/>
    </row>
    <row r="771" spans="4:4" ht="15.75" customHeight="1">
      <c r="D771" s="22"/>
    </row>
    <row r="772" spans="4:4" ht="15.75" customHeight="1">
      <c r="D772" s="22"/>
    </row>
    <row r="773" spans="4:4" ht="15.75" customHeight="1">
      <c r="D773" s="22"/>
    </row>
    <row r="774" spans="4:4" ht="15.75" customHeight="1">
      <c r="D774" s="22"/>
    </row>
    <row r="775" spans="4:4" ht="15.75" customHeight="1">
      <c r="D775" s="22"/>
    </row>
    <row r="776" spans="4:4" ht="15.75" customHeight="1">
      <c r="D776" s="22"/>
    </row>
    <row r="777" spans="4:4" ht="15.75" customHeight="1">
      <c r="D777" s="22"/>
    </row>
    <row r="778" spans="4:4" ht="15.75" customHeight="1">
      <c r="D778" s="22"/>
    </row>
    <row r="779" spans="4:4" ht="15.75" customHeight="1">
      <c r="D779" s="22"/>
    </row>
    <row r="780" spans="4:4" ht="15.75" customHeight="1">
      <c r="D780" s="22"/>
    </row>
    <row r="781" spans="4:4" ht="15.75" customHeight="1">
      <c r="D781" s="22"/>
    </row>
    <row r="782" spans="4:4" ht="15.75" customHeight="1">
      <c r="D782" s="22"/>
    </row>
    <row r="783" spans="4:4" ht="15.75" customHeight="1">
      <c r="D783" s="22"/>
    </row>
    <row r="784" spans="4:4" ht="15.75" customHeight="1">
      <c r="D784" s="22"/>
    </row>
    <row r="785" spans="4:4" ht="15.75" customHeight="1">
      <c r="D785" s="22"/>
    </row>
    <row r="786" spans="4:4" ht="15.75" customHeight="1">
      <c r="D786" s="22"/>
    </row>
    <row r="787" spans="4:4" ht="15.75" customHeight="1">
      <c r="D787" s="22"/>
    </row>
    <row r="788" spans="4:4" ht="15.75" customHeight="1">
      <c r="D788" s="22"/>
    </row>
    <row r="789" spans="4:4" ht="15.75" customHeight="1">
      <c r="D789" s="22"/>
    </row>
    <row r="790" spans="4:4" ht="15.75" customHeight="1">
      <c r="D790" s="22"/>
    </row>
    <row r="791" spans="4:4" ht="15.75" customHeight="1">
      <c r="D791" s="22"/>
    </row>
    <row r="792" spans="4:4" ht="15.75" customHeight="1">
      <c r="D792" s="22"/>
    </row>
    <row r="793" spans="4:4" ht="15.75" customHeight="1">
      <c r="D793" s="22"/>
    </row>
    <row r="794" spans="4:4" ht="15.75" customHeight="1">
      <c r="D794" s="22"/>
    </row>
    <row r="795" spans="4:4" ht="15.75" customHeight="1">
      <c r="D795" s="22"/>
    </row>
    <row r="796" spans="4:4" ht="15.75" customHeight="1">
      <c r="D796" s="22"/>
    </row>
    <row r="797" spans="4:4" ht="15.75" customHeight="1">
      <c r="D797" s="22"/>
    </row>
    <row r="798" spans="4:4" ht="15.75" customHeight="1">
      <c r="D798" s="22"/>
    </row>
    <row r="799" spans="4:4" ht="15.75" customHeight="1">
      <c r="D799" s="22"/>
    </row>
    <row r="800" spans="4:4" ht="15.75" customHeight="1">
      <c r="D800" s="22"/>
    </row>
    <row r="801" spans="4:4" ht="15.75" customHeight="1">
      <c r="D801" s="22"/>
    </row>
    <row r="802" spans="4:4" ht="15.75" customHeight="1">
      <c r="D802" s="22"/>
    </row>
    <row r="803" spans="4:4" ht="15.75" customHeight="1">
      <c r="D803" s="22"/>
    </row>
    <row r="804" spans="4:4" ht="15.75" customHeight="1">
      <c r="D804" s="22"/>
    </row>
    <row r="805" spans="4:4" ht="15.75" customHeight="1">
      <c r="D805" s="22"/>
    </row>
    <row r="806" spans="4:4" ht="15.75" customHeight="1">
      <c r="D806" s="22"/>
    </row>
    <row r="807" spans="4:4" ht="15.75" customHeight="1">
      <c r="D807" s="22"/>
    </row>
    <row r="808" spans="4:4" ht="15.75" customHeight="1">
      <c r="D808" s="22"/>
    </row>
    <row r="809" spans="4:4" ht="15.75" customHeight="1">
      <c r="D809" s="22"/>
    </row>
    <row r="810" spans="4:4" ht="15.75" customHeight="1">
      <c r="D810" s="22"/>
    </row>
    <row r="811" spans="4:4" ht="15.75" customHeight="1">
      <c r="D811" s="22"/>
    </row>
    <row r="812" spans="4:4" ht="15.75" customHeight="1">
      <c r="D812" s="22"/>
    </row>
    <row r="813" spans="4:4" ht="15.75" customHeight="1">
      <c r="D813" s="22"/>
    </row>
    <row r="814" spans="4:4" ht="15.75" customHeight="1">
      <c r="D814" s="22"/>
    </row>
    <row r="815" spans="4:4" ht="15.75" customHeight="1">
      <c r="D815" s="22"/>
    </row>
    <row r="816" spans="4:4" ht="15.75" customHeight="1">
      <c r="D816" s="22"/>
    </row>
    <row r="817" spans="4:4" ht="15.75" customHeight="1">
      <c r="D817" s="22"/>
    </row>
    <row r="818" spans="4:4" ht="15.75" customHeight="1">
      <c r="D818" s="22"/>
    </row>
    <row r="819" spans="4:4" ht="15.75" customHeight="1">
      <c r="D819" s="22"/>
    </row>
    <row r="820" spans="4:4" ht="15.75" customHeight="1">
      <c r="D820" s="22"/>
    </row>
    <row r="821" spans="4:4" ht="15.75" customHeight="1">
      <c r="D821" s="22"/>
    </row>
    <row r="822" spans="4:4" ht="15.75" customHeight="1">
      <c r="D822" s="22"/>
    </row>
    <row r="823" spans="4:4" ht="15.75" customHeight="1">
      <c r="D823" s="22"/>
    </row>
    <row r="824" spans="4:4" ht="15.75" customHeight="1">
      <c r="D824" s="22"/>
    </row>
    <row r="825" spans="4:4" ht="15.75" customHeight="1">
      <c r="D825" s="22"/>
    </row>
    <row r="826" spans="4:4" ht="15.75" customHeight="1">
      <c r="D826" s="22"/>
    </row>
    <row r="827" spans="4:4" ht="15.75" customHeight="1">
      <c r="D827" s="22"/>
    </row>
    <row r="828" spans="4:4" ht="15.75" customHeight="1">
      <c r="D828" s="22"/>
    </row>
    <row r="829" spans="4:4" ht="15.75" customHeight="1">
      <c r="D829" s="22"/>
    </row>
    <row r="830" spans="4:4" ht="15.75" customHeight="1">
      <c r="D830" s="22"/>
    </row>
    <row r="831" spans="4:4" ht="15.75" customHeight="1">
      <c r="D831" s="22"/>
    </row>
    <row r="832" spans="4:4" ht="15.75" customHeight="1">
      <c r="D832" s="22"/>
    </row>
    <row r="833" spans="4:4" ht="15.75" customHeight="1">
      <c r="D833" s="22"/>
    </row>
    <row r="834" spans="4:4" ht="15.75" customHeight="1">
      <c r="D834" s="22"/>
    </row>
    <row r="835" spans="4:4" ht="15.75" customHeight="1">
      <c r="D835" s="22"/>
    </row>
    <row r="836" spans="4:4" ht="15.75" customHeight="1">
      <c r="D836" s="22"/>
    </row>
    <row r="837" spans="4:4" ht="15.75" customHeight="1">
      <c r="D837" s="22"/>
    </row>
    <row r="838" spans="4:4" ht="15.75" customHeight="1">
      <c r="D838" s="22"/>
    </row>
    <row r="839" spans="4:4" ht="15.75" customHeight="1">
      <c r="D839" s="22"/>
    </row>
    <row r="840" spans="4:4" ht="15.75" customHeight="1">
      <c r="D840" s="22"/>
    </row>
    <row r="841" spans="4:4" ht="15.75" customHeight="1">
      <c r="D841" s="22"/>
    </row>
    <row r="842" spans="4:4" ht="15.75" customHeight="1">
      <c r="D842" s="22"/>
    </row>
    <row r="843" spans="4:4" ht="15.75" customHeight="1">
      <c r="D843" s="22"/>
    </row>
    <row r="844" spans="4:4" ht="15.75" customHeight="1">
      <c r="D844" s="22"/>
    </row>
    <row r="845" spans="4:4" ht="15.75" customHeight="1">
      <c r="D845" s="22"/>
    </row>
    <row r="846" spans="4:4" ht="15.75" customHeight="1">
      <c r="D846" s="22"/>
    </row>
    <row r="847" spans="4:4" ht="15.75" customHeight="1">
      <c r="D847" s="22"/>
    </row>
    <row r="848" spans="4:4" ht="15.75" customHeight="1">
      <c r="D848" s="22"/>
    </row>
    <row r="849" spans="4:4" ht="15.75" customHeight="1">
      <c r="D849" s="22"/>
    </row>
    <row r="850" spans="4:4" ht="15.75" customHeight="1">
      <c r="D850" s="22"/>
    </row>
    <row r="851" spans="4:4" ht="15.75" customHeight="1">
      <c r="D851" s="22"/>
    </row>
    <row r="852" spans="4:4" ht="15.75" customHeight="1">
      <c r="D852" s="22"/>
    </row>
    <row r="853" spans="4:4" ht="15.75" customHeight="1">
      <c r="D853" s="22"/>
    </row>
    <row r="854" spans="4:4" ht="15.75" customHeight="1">
      <c r="D854" s="22"/>
    </row>
    <row r="855" spans="4:4" ht="15.75" customHeight="1">
      <c r="D855" s="22"/>
    </row>
    <row r="856" spans="4:4" ht="15.75" customHeight="1">
      <c r="D856" s="22"/>
    </row>
    <row r="857" spans="4:4" ht="15.75" customHeight="1">
      <c r="D857" s="22"/>
    </row>
    <row r="858" spans="4:4" ht="15.75" customHeight="1">
      <c r="D858" s="22"/>
    </row>
    <row r="859" spans="4:4" ht="15.75" customHeight="1">
      <c r="D859" s="22"/>
    </row>
    <row r="860" spans="4:4" ht="15.75" customHeight="1">
      <c r="D860" s="22"/>
    </row>
    <row r="861" spans="4:4" ht="15.75" customHeight="1">
      <c r="D861" s="22"/>
    </row>
    <row r="862" spans="4:4" ht="15.75" customHeight="1">
      <c r="D862" s="22"/>
    </row>
    <row r="863" spans="4:4" ht="15.75" customHeight="1">
      <c r="D863" s="22"/>
    </row>
    <row r="864" spans="4:4" ht="15.75" customHeight="1">
      <c r="D864" s="22"/>
    </row>
    <row r="865" spans="4:4" ht="15.75" customHeight="1">
      <c r="D865" s="22"/>
    </row>
    <row r="866" spans="4:4" ht="15.75" customHeight="1">
      <c r="D866" s="22"/>
    </row>
    <row r="867" spans="4:4" ht="15.75" customHeight="1">
      <c r="D867" s="22"/>
    </row>
    <row r="868" spans="4:4" ht="15.75" customHeight="1">
      <c r="D868" s="22"/>
    </row>
    <row r="869" spans="4:4" ht="15.75" customHeight="1">
      <c r="D869" s="22"/>
    </row>
    <row r="870" spans="4:4" ht="15.75" customHeight="1">
      <c r="D870" s="22"/>
    </row>
    <row r="871" spans="4:4" ht="15.75" customHeight="1">
      <c r="D871" s="22"/>
    </row>
    <row r="872" spans="4:4" ht="15.75" customHeight="1">
      <c r="D872" s="22"/>
    </row>
    <row r="873" spans="4:4" ht="15.75" customHeight="1">
      <c r="D873" s="22"/>
    </row>
    <row r="874" spans="4:4" ht="15.75" customHeight="1">
      <c r="D874" s="22"/>
    </row>
    <row r="875" spans="4:4" ht="15.75" customHeight="1">
      <c r="D875" s="22"/>
    </row>
    <row r="876" spans="4:4" ht="15.75" customHeight="1">
      <c r="D876" s="22"/>
    </row>
    <row r="877" spans="4:4" ht="15.75" customHeight="1">
      <c r="D877" s="22"/>
    </row>
    <row r="878" spans="4:4" ht="15.75" customHeight="1">
      <c r="D878" s="22"/>
    </row>
    <row r="879" spans="4:4" ht="15.75" customHeight="1">
      <c r="D879" s="22"/>
    </row>
    <row r="880" spans="4:4" ht="15.75" customHeight="1">
      <c r="D880" s="22"/>
    </row>
    <row r="881" spans="4:4" ht="15.75" customHeight="1">
      <c r="D881" s="22"/>
    </row>
    <row r="882" spans="4:4" ht="15.75" customHeight="1">
      <c r="D882" s="22"/>
    </row>
    <row r="883" spans="4:4" ht="15.75" customHeight="1">
      <c r="D883" s="22"/>
    </row>
    <row r="884" spans="4:4" ht="15.75" customHeight="1">
      <c r="D884" s="22"/>
    </row>
    <row r="885" spans="4:4" ht="15.75" customHeight="1">
      <c r="D885" s="22"/>
    </row>
    <row r="886" spans="4:4" ht="15.75" customHeight="1">
      <c r="D886" s="22"/>
    </row>
    <row r="887" spans="4:4" ht="15.75" customHeight="1">
      <c r="D887" s="22"/>
    </row>
    <row r="888" spans="4:4" ht="15.75" customHeight="1">
      <c r="D888" s="22"/>
    </row>
    <row r="889" spans="4:4" ht="15.75" customHeight="1">
      <c r="D889" s="22"/>
    </row>
    <row r="890" spans="4:4" ht="15.75" customHeight="1">
      <c r="D890" s="22"/>
    </row>
    <row r="891" spans="4:4" ht="15.75" customHeight="1">
      <c r="D891" s="22"/>
    </row>
    <row r="892" spans="4:4" ht="15.75" customHeight="1">
      <c r="D892" s="22"/>
    </row>
    <row r="893" spans="4:4" ht="15.75" customHeight="1">
      <c r="D893" s="22"/>
    </row>
    <row r="894" spans="4:4" ht="15.75" customHeight="1">
      <c r="D894" s="22"/>
    </row>
    <row r="895" spans="4:4" ht="15.75" customHeight="1">
      <c r="D895" s="22"/>
    </row>
    <row r="896" spans="4:4" ht="15.75" customHeight="1">
      <c r="D896" s="22"/>
    </row>
    <row r="897" spans="4:4" ht="15.75" customHeight="1">
      <c r="D897" s="22"/>
    </row>
    <row r="898" spans="4:4" ht="15.75" customHeight="1">
      <c r="D898" s="22"/>
    </row>
    <row r="899" spans="4:4" ht="15.75" customHeight="1">
      <c r="D899" s="22"/>
    </row>
    <row r="900" spans="4:4" ht="15.75" customHeight="1">
      <c r="D900" s="22"/>
    </row>
    <row r="901" spans="4:4" ht="15.75" customHeight="1">
      <c r="D901" s="22"/>
    </row>
    <row r="902" spans="4:4" ht="15.75" customHeight="1">
      <c r="D902" s="22"/>
    </row>
    <row r="903" spans="4:4" ht="15.75" customHeight="1">
      <c r="D903" s="22"/>
    </row>
    <row r="904" spans="4:4" ht="15.75" customHeight="1">
      <c r="D904" s="22"/>
    </row>
    <row r="905" spans="4:4" ht="15.75" customHeight="1">
      <c r="D905" s="22"/>
    </row>
    <row r="906" spans="4:4" ht="15.75" customHeight="1">
      <c r="D906" s="22"/>
    </row>
    <row r="907" spans="4:4" ht="15.75" customHeight="1">
      <c r="D907" s="22"/>
    </row>
    <row r="908" spans="4:4" ht="15.75" customHeight="1">
      <c r="D908" s="22"/>
    </row>
    <row r="909" spans="4:4" ht="15.75" customHeight="1">
      <c r="D909" s="22"/>
    </row>
    <row r="910" spans="4:4" ht="15.75" customHeight="1">
      <c r="D910" s="22"/>
    </row>
    <row r="911" spans="4:4" ht="15.75" customHeight="1">
      <c r="D911" s="22"/>
    </row>
    <row r="912" spans="4:4" ht="15.75" customHeight="1">
      <c r="D912" s="22"/>
    </row>
    <row r="913" spans="4:4" ht="15.75" customHeight="1">
      <c r="D913" s="22"/>
    </row>
    <row r="914" spans="4:4" ht="15.75" customHeight="1">
      <c r="D914" s="22"/>
    </row>
    <row r="915" spans="4:4" ht="15.75" customHeight="1">
      <c r="D915" s="22"/>
    </row>
    <row r="916" spans="4:4" ht="15.75" customHeight="1">
      <c r="D916" s="22"/>
    </row>
    <row r="917" spans="4:4" ht="15.75" customHeight="1">
      <c r="D917" s="22"/>
    </row>
    <row r="918" spans="4:4" ht="15.75" customHeight="1">
      <c r="D918" s="22"/>
    </row>
    <row r="919" spans="4:4" ht="15.75" customHeight="1">
      <c r="D919" s="22"/>
    </row>
    <row r="920" spans="4:4" ht="15.75" customHeight="1">
      <c r="D920" s="22"/>
    </row>
    <row r="921" spans="4:4" ht="15.75" customHeight="1">
      <c r="D921" s="22"/>
    </row>
    <row r="922" spans="4:4" ht="15.75" customHeight="1">
      <c r="D922" s="22"/>
    </row>
    <row r="923" spans="4:4" ht="15.75" customHeight="1">
      <c r="D923" s="22"/>
    </row>
    <row r="924" spans="4:4" ht="15.75" customHeight="1">
      <c r="D924" s="22"/>
    </row>
    <row r="925" spans="4:4" ht="15.75" customHeight="1">
      <c r="D925" s="22"/>
    </row>
    <row r="926" spans="4:4" ht="15.75" customHeight="1">
      <c r="D926" s="22"/>
    </row>
    <row r="927" spans="4:4" ht="15.75" customHeight="1">
      <c r="D927" s="22"/>
    </row>
    <row r="928" spans="4:4" ht="15.75" customHeight="1">
      <c r="D928" s="22"/>
    </row>
    <row r="929" spans="4:4" ht="15.75" customHeight="1">
      <c r="D929" s="22"/>
    </row>
    <row r="930" spans="4:4" ht="15.75" customHeight="1">
      <c r="D930" s="22"/>
    </row>
    <row r="931" spans="4:4" ht="15.75" customHeight="1">
      <c r="D931" s="22"/>
    </row>
    <row r="932" spans="4:4" ht="15.75" customHeight="1">
      <c r="D932" s="22"/>
    </row>
    <row r="933" spans="4:4" ht="15.75" customHeight="1">
      <c r="D933" s="22"/>
    </row>
    <row r="934" spans="4:4" ht="15.75" customHeight="1">
      <c r="D934" s="22"/>
    </row>
    <row r="935" spans="4:4" ht="15.75" customHeight="1">
      <c r="D935" s="22"/>
    </row>
    <row r="936" spans="4:4" ht="15.75" customHeight="1">
      <c r="D936" s="22"/>
    </row>
    <row r="937" spans="4:4" ht="15.75" customHeight="1">
      <c r="D937" s="22"/>
    </row>
    <row r="938" spans="4:4" ht="15.75" customHeight="1">
      <c r="D938" s="22"/>
    </row>
    <row r="939" spans="4:4" ht="15.75" customHeight="1">
      <c r="D939" s="22"/>
    </row>
    <row r="940" spans="4:4" ht="15.75" customHeight="1">
      <c r="D940" s="22"/>
    </row>
    <row r="941" spans="4:4" ht="15.75" customHeight="1">
      <c r="D941" s="22"/>
    </row>
    <row r="942" spans="4:4" ht="15.75" customHeight="1">
      <c r="D942" s="22"/>
    </row>
    <row r="943" spans="4:4" ht="15.75" customHeight="1">
      <c r="D943" s="22"/>
    </row>
    <row r="944" spans="4:4" ht="15.75" customHeight="1">
      <c r="D944" s="22"/>
    </row>
    <row r="945" spans="4:4" ht="15.75" customHeight="1">
      <c r="D945" s="22"/>
    </row>
    <row r="946" spans="4:4" ht="15.75" customHeight="1">
      <c r="D946" s="22"/>
    </row>
    <row r="947" spans="4:4" ht="15.75" customHeight="1">
      <c r="D947" s="22"/>
    </row>
    <row r="948" spans="4:4" ht="15.75" customHeight="1">
      <c r="D948" s="22"/>
    </row>
    <row r="949" spans="4:4" ht="15.75" customHeight="1">
      <c r="D949" s="22"/>
    </row>
    <row r="950" spans="4:4" ht="15.75" customHeight="1">
      <c r="D950" s="22"/>
    </row>
    <row r="951" spans="4:4" ht="15.75" customHeight="1">
      <c r="D951" s="22"/>
    </row>
    <row r="952" spans="4:4" ht="15.75" customHeight="1">
      <c r="D952" s="22"/>
    </row>
    <row r="953" spans="4:4" ht="15.75" customHeight="1">
      <c r="D953" s="22"/>
    </row>
    <row r="954" spans="4:4" ht="15.75" customHeight="1">
      <c r="D954" s="22"/>
    </row>
    <row r="955" spans="4:4" ht="15.75" customHeight="1">
      <c r="D955" s="22"/>
    </row>
    <row r="956" spans="4:4" ht="15.75" customHeight="1">
      <c r="D956" s="22"/>
    </row>
    <row r="957" spans="4:4" ht="15.75" customHeight="1">
      <c r="D957" s="22"/>
    </row>
    <row r="958" spans="4:4" ht="15.75" customHeight="1">
      <c r="D958" s="22"/>
    </row>
    <row r="959" spans="4:4" ht="15.75" customHeight="1">
      <c r="D959" s="22"/>
    </row>
    <row r="960" spans="4:4" ht="15.75" customHeight="1">
      <c r="D960" s="22"/>
    </row>
    <row r="961" spans="4:4" ht="15.75" customHeight="1">
      <c r="D961" s="22"/>
    </row>
    <row r="962" spans="4:4" ht="15.75" customHeight="1">
      <c r="D962" s="22"/>
    </row>
    <row r="963" spans="4:4" ht="15.75" customHeight="1">
      <c r="D963" s="22"/>
    </row>
    <row r="964" spans="4:4" ht="15.75" customHeight="1">
      <c r="D964" s="22"/>
    </row>
    <row r="965" spans="4:4" ht="15.75" customHeight="1">
      <c r="D965" s="22"/>
    </row>
    <row r="966" spans="4:4" ht="15.75" customHeight="1">
      <c r="D966" s="22"/>
    </row>
    <row r="967" spans="4:4" ht="15.75" customHeight="1">
      <c r="D967" s="22"/>
    </row>
    <row r="968" spans="4:4" ht="15.75" customHeight="1">
      <c r="D968" s="22"/>
    </row>
    <row r="969" spans="4:4" ht="15.75" customHeight="1">
      <c r="D969" s="22"/>
    </row>
    <row r="970" spans="4:4" ht="15.75" customHeight="1">
      <c r="D970" s="22"/>
    </row>
    <row r="971" spans="4:4" ht="15.75" customHeight="1">
      <c r="D971" s="22"/>
    </row>
    <row r="972" spans="4:4" ht="15.75" customHeight="1">
      <c r="D972" s="22"/>
    </row>
    <row r="973" spans="4:4" ht="15.75" customHeight="1">
      <c r="D973" s="22"/>
    </row>
    <row r="974" spans="4:4" ht="15.75" customHeight="1">
      <c r="D974" s="22"/>
    </row>
    <row r="975" spans="4:4" ht="15.75" customHeight="1">
      <c r="D975" s="22"/>
    </row>
    <row r="976" spans="4:4" ht="15.75" customHeight="1">
      <c r="D976" s="22"/>
    </row>
    <row r="977" spans="4:4" ht="15.75" customHeight="1">
      <c r="D977" s="22"/>
    </row>
    <row r="978" spans="4:4" ht="15.75" customHeight="1">
      <c r="D978" s="22"/>
    </row>
    <row r="979" spans="4:4" ht="15.75" customHeight="1">
      <c r="D979" s="22"/>
    </row>
    <row r="980" spans="4:4" ht="15.75" customHeight="1">
      <c r="D980" s="22"/>
    </row>
    <row r="981" spans="4:4" ht="15.75" customHeight="1">
      <c r="D981" s="22"/>
    </row>
    <row r="982" spans="4:4" ht="15.75" customHeight="1">
      <c r="D982" s="22"/>
    </row>
    <row r="983" spans="4:4" ht="15.75" customHeight="1">
      <c r="D983" s="22"/>
    </row>
    <row r="984" spans="4:4" ht="15.75" customHeight="1">
      <c r="D984" s="22"/>
    </row>
    <row r="985" spans="4:4" ht="15.75" customHeight="1">
      <c r="D985" s="22"/>
    </row>
    <row r="986" spans="4:4" ht="15.75" customHeight="1">
      <c r="D986" s="22"/>
    </row>
    <row r="987" spans="4:4" ht="15.75" customHeight="1">
      <c r="D987" s="22"/>
    </row>
    <row r="988" spans="4:4" ht="15.75" customHeight="1">
      <c r="D988" s="22"/>
    </row>
    <row r="989" spans="4:4" ht="15.75" customHeight="1">
      <c r="D989" s="22"/>
    </row>
    <row r="990" spans="4:4" ht="15.75" customHeight="1">
      <c r="D990" s="22"/>
    </row>
    <row r="991" spans="4:4" ht="15.75" customHeight="1">
      <c r="D991" s="22"/>
    </row>
    <row r="992" spans="4:4" ht="15.75" customHeight="1">
      <c r="D992" s="22"/>
    </row>
    <row r="993" spans="4:4" ht="15.75" customHeight="1">
      <c r="D993" s="22"/>
    </row>
    <row r="994" spans="4:4" ht="15.75" customHeight="1">
      <c r="D994" s="22"/>
    </row>
    <row r="995" spans="4:4" ht="15.75" customHeight="1">
      <c r="D995" s="22"/>
    </row>
    <row r="996" spans="4:4" ht="15.75" customHeight="1">
      <c r="D996" s="22"/>
    </row>
    <row r="997" spans="4:4" ht="15.75" customHeight="1">
      <c r="D997" s="22"/>
    </row>
    <row r="998" spans="4:4" ht="15.75" customHeight="1">
      <c r="D998" s="22"/>
    </row>
    <row r="999" spans="4:4" ht="15.75" customHeight="1">
      <c r="D999" s="22"/>
    </row>
    <row r="1000" spans="4:4" ht="15.75" customHeight="1">
      <c r="D1000" s="22"/>
    </row>
    <row r="1001" spans="4:4" ht="15.75" customHeight="1">
      <c r="D1001" s="22"/>
    </row>
    <row r="1002" spans="4:4" ht="15.75" customHeight="1">
      <c r="D1002" s="22"/>
    </row>
    <row r="1003" spans="4:4" ht="15.75" customHeight="1">
      <c r="D1003" s="22"/>
    </row>
    <row r="1004" spans="4:4" ht="15.75" customHeight="1">
      <c r="D1004" s="22"/>
    </row>
    <row r="1005" spans="4:4" ht="15.75" customHeight="1">
      <c r="D1005" s="22"/>
    </row>
    <row r="1006" spans="4:4" ht="15.75" customHeight="1">
      <c r="D1006" s="22"/>
    </row>
    <row r="1007" spans="4:4" ht="15.75" customHeight="1">
      <c r="D1007" s="22"/>
    </row>
    <row r="1008" spans="4:4" ht="15.75" customHeight="1">
      <c r="D1008" s="22"/>
    </row>
    <row r="1009" spans="4:4" ht="15.75" customHeight="1">
      <c r="D1009" s="22"/>
    </row>
    <row r="1010" spans="4:4" ht="15.75" customHeight="1">
      <c r="D1010" s="22"/>
    </row>
    <row r="1011" spans="4:4" ht="15.75" customHeight="1">
      <c r="D1011" s="22"/>
    </row>
    <row r="1012" spans="4:4" ht="15.75" customHeight="1">
      <c r="D1012" s="22"/>
    </row>
    <row r="1013" spans="4:4" ht="15.75" customHeight="1">
      <c r="D1013" s="22"/>
    </row>
    <row r="1014" spans="4:4" ht="15.75" customHeight="1">
      <c r="D1014" s="22"/>
    </row>
    <row r="1015" spans="4:4" ht="15.75" customHeight="1">
      <c r="D1015" s="22"/>
    </row>
    <row r="1016" spans="4:4" ht="15.75" customHeight="1">
      <c r="D1016" s="22"/>
    </row>
    <row r="1017" spans="4:4" ht="15.75" customHeight="1">
      <c r="D1017" s="22"/>
    </row>
    <row r="1018" spans="4:4" ht="15.75" customHeight="1">
      <c r="D1018" s="22"/>
    </row>
    <row r="1019" spans="4:4" ht="15.75" customHeight="1">
      <c r="D1019" s="22"/>
    </row>
    <row r="1020" spans="4:4" ht="15.75" customHeight="1">
      <c r="D1020" s="22"/>
    </row>
    <row r="1021" spans="4:4" ht="15.75" customHeight="1">
      <c r="D1021" s="22"/>
    </row>
    <row r="1022" spans="4:4" ht="15.75" customHeight="1">
      <c r="D1022" s="22"/>
    </row>
    <row r="1023" spans="4:4" ht="15.75" customHeight="1">
      <c r="D1023" s="22"/>
    </row>
    <row r="1024" spans="4:4" ht="15.75" customHeight="1">
      <c r="D1024" s="22"/>
    </row>
  </sheetData>
  <mergeCells count="108">
    <mergeCell ref="J14:J15"/>
    <mergeCell ref="K14:K15"/>
    <mergeCell ref="L14:L15"/>
    <mergeCell ref="B14:B15"/>
    <mergeCell ref="C14:C15"/>
    <mergeCell ref="D14:D15"/>
    <mergeCell ref="E14:E15"/>
    <mergeCell ref="F14:F15"/>
    <mergeCell ref="H14:H15"/>
    <mergeCell ref="I14:I15"/>
    <mergeCell ref="J16:J17"/>
    <mergeCell ref="K16:K17"/>
    <mergeCell ref="L16:L17"/>
    <mergeCell ref="B16:B17"/>
    <mergeCell ref="C16:C17"/>
    <mergeCell ref="D16:D17"/>
    <mergeCell ref="E16:E17"/>
    <mergeCell ref="F16:F17"/>
    <mergeCell ref="H16:H17"/>
    <mergeCell ref="I16:I17"/>
    <mergeCell ref="B3:I3"/>
    <mergeCell ref="J3:P3"/>
    <mergeCell ref="B6:C6"/>
    <mergeCell ref="D6:E6"/>
    <mergeCell ref="H6:I6"/>
    <mergeCell ref="J6:K6"/>
    <mergeCell ref="Q6:R6"/>
    <mergeCell ref="H10:H11"/>
    <mergeCell ref="I10:I11"/>
    <mergeCell ref="I12:I13"/>
    <mergeCell ref="J10:J11"/>
    <mergeCell ref="K10:K11"/>
    <mergeCell ref="J12:J13"/>
    <mergeCell ref="K12:K13"/>
    <mergeCell ref="L12:L13"/>
    <mergeCell ref="N9:O9"/>
    <mergeCell ref="N10:O11"/>
    <mergeCell ref="N12:O13"/>
    <mergeCell ref="P12:P13"/>
    <mergeCell ref="N20:O20"/>
    <mergeCell ref="B8:F8"/>
    <mergeCell ref="H8:L8"/>
    <mergeCell ref="N8:P8"/>
    <mergeCell ref="B10:B11"/>
    <mergeCell ref="C10:C11"/>
    <mergeCell ref="D10:D11"/>
    <mergeCell ref="L10:L11"/>
    <mergeCell ref="P10:P11"/>
    <mergeCell ref="E10:E11"/>
    <mergeCell ref="F10:F11"/>
    <mergeCell ref="B12:B13"/>
    <mergeCell ref="C12:C13"/>
    <mergeCell ref="D12:D13"/>
    <mergeCell ref="E12:E13"/>
    <mergeCell ref="F12:F13"/>
    <mergeCell ref="B20:E20"/>
    <mergeCell ref="H20:K20"/>
    <mergeCell ref="J18:J19"/>
    <mergeCell ref="K18:K19"/>
    <mergeCell ref="L18:L19"/>
    <mergeCell ref="B18:B19"/>
    <mergeCell ref="H12:H13"/>
    <mergeCell ref="C18:C19"/>
    <mergeCell ref="D18:D19"/>
    <mergeCell ref="E18:E19"/>
    <mergeCell ref="F18:F19"/>
    <mergeCell ref="H18:H19"/>
    <mergeCell ref="I18:I19"/>
    <mergeCell ref="H22:I22"/>
    <mergeCell ref="H23:I24"/>
    <mergeCell ref="H27:I28"/>
    <mergeCell ref="B23:C24"/>
    <mergeCell ref="B25:C26"/>
    <mergeCell ref="B27:C28"/>
    <mergeCell ref="D27:D28"/>
    <mergeCell ref="E27:F32"/>
    <mergeCell ref="B29:C30"/>
    <mergeCell ref="D29:D30"/>
    <mergeCell ref="N29:P30"/>
    <mergeCell ref="N31:P32"/>
    <mergeCell ref="B22:C22"/>
    <mergeCell ref="E22:F22"/>
    <mergeCell ref="N22:P22"/>
    <mergeCell ref="D23:D24"/>
    <mergeCell ref="E23:F26"/>
    <mergeCell ref="J23:J24"/>
    <mergeCell ref="J25:J26"/>
    <mergeCell ref="J27:J28"/>
    <mergeCell ref="H29:I30"/>
    <mergeCell ref="J29:J30"/>
    <mergeCell ref="H31:I32"/>
    <mergeCell ref="J31:J32"/>
    <mergeCell ref="K22:L22"/>
    <mergeCell ref="K23:L26"/>
    <mergeCell ref="K27:L32"/>
    <mergeCell ref="D25:D26"/>
    <mergeCell ref="H25:I26"/>
    <mergeCell ref="B31:C32"/>
    <mergeCell ref="D31:D32"/>
    <mergeCell ref="N14:O15"/>
    <mergeCell ref="P14:P15"/>
    <mergeCell ref="N16:O17"/>
    <mergeCell ref="P16:P17"/>
    <mergeCell ref="N18:O19"/>
    <mergeCell ref="P18:P19"/>
    <mergeCell ref="N23:P24"/>
    <mergeCell ref="N25:P26"/>
    <mergeCell ref="N27:P28"/>
  </mergeCells>
  <printOptions horizontalCentered="1"/>
  <pageMargins left="0.25" right="0.25" top="0.75" bottom="0.75" header="0" footer="0"/>
  <pageSetup fitToHeight="0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B1:AA1000"/>
  <sheetViews>
    <sheetView workbookViewId="0"/>
  </sheetViews>
  <sheetFormatPr defaultColWidth="12.5703125" defaultRowHeight="15" customHeight="1"/>
  <cols>
    <col min="1" max="1" width="12.5703125" customWidth="1"/>
    <col min="2" max="2" width="10.85546875" customWidth="1"/>
    <col min="3" max="3" width="45.42578125" customWidth="1"/>
    <col min="4" max="6" width="25.85546875" customWidth="1"/>
    <col min="7" max="7" width="5.85546875" customWidth="1"/>
    <col min="8" max="12" width="25.85546875" customWidth="1"/>
    <col min="13" max="13" width="5.85546875" customWidth="1"/>
    <col min="14" max="16" width="25.85546875" customWidth="1"/>
  </cols>
  <sheetData>
    <row r="1" spans="2:27" ht="15.75" customHeight="1"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 ht="15.75" customHeight="1"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54" customHeight="1">
      <c r="B3" s="177" t="s">
        <v>0</v>
      </c>
      <c r="C3" s="178"/>
      <c r="D3" s="178"/>
      <c r="E3" s="178"/>
      <c r="F3" s="178"/>
      <c r="G3" s="178"/>
      <c r="H3" s="178"/>
      <c r="I3" s="178"/>
      <c r="J3" s="179" t="s">
        <v>41</v>
      </c>
      <c r="K3" s="178"/>
      <c r="L3" s="178"/>
      <c r="M3" s="178"/>
      <c r="N3" s="178"/>
      <c r="O3" s="178"/>
      <c r="P3" s="178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15" customHeight="1"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 ht="15.75" customHeight="1"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 ht="31.5" customHeight="1">
      <c r="B6" s="180" t="s">
        <v>2</v>
      </c>
      <c r="C6" s="181"/>
      <c r="D6" s="182"/>
      <c r="E6" s="144"/>
      <c r="F6" s="3"/>
      <c r="G6" s="3"/>
      <c r="H6" s="180" t="s">
        <v>3</v>
      </c>
      <c r="I6" s="181"/>
      <c r="J6" s="183" t="s">
        <v>42</v>
      </c>
      <c r="K6" s="144"/>
      <c r="L6" s="3"/>
      <c r="M6" s="3"/>
      <c r="N6" s="3"/>
      <c r="O6" s="4" t="s">
        <v>5</v>
      </c>
      <c r="P6" s="5">
        <f ca="1">TODAY()</f>
        <v>45989</v>
      </c>
      <c r="Q6" s="184"/>
      <c r="R6" s="178"/>
      <c r="S6" s="1"/>
      <c r="T6" s="1"/>
      <c r="U6" s="1"/>
      <c r="V6" s="1"/>
      <c r="W6" s="1"/>
      <c r="X6" s="1"/>
      <c r="Y6" s="1"/>
      <c r="Z6" s="1"/>
      <c r="AA6" s="1"/>
    </row>
    <row r="7" spans="2:27" ht="31.5" customHeight="1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 ht="31.5" customHeight="1">
      <c r="B8" s="143" t="s">
        <v>6</v>
      </c>
      <c r="C8" s="146"/>
      <c r="D8" s="146"/>
      <c r="E8" s="146"/>
      <c r="F8" s="144"/>
      <c r="G8" s="6"/>
      <c r="H8" s="157" t="s">
        <v>7</v>
      </c>
      <c r="I8" s="146"/>
      <c r="J8" s="146"/>
      <c r="K8" s="146"/>
      <c r="L8" s="144"/>
      <c r="M8" s="6"/>
      <c r="N8" s="145" t="s">
        <v>8</v>
      </c>
      <c r="O8" s="146"/>
      <c r="P8" s="144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31.5" customHeight="1">
      <c r="B9" s="7" t="s">
        <v>9</v>
      </c>
      <c r="C9" s="8" t="s">
        <v>10</v>
      </c>
      <c r="D9" s="9" t="s">
        <v>11</v>
      </c>
      <c r="E9" s="9" t="s">
        <v>12</v>
      </c>
      <c r="F9" s="9" t="s">
        <v>13</v>
      </c>
      <c r="G9" s="10"/>
      <c r="H9" s="9" t="s">
        <v>14</v>
      </c>
      <c r="I9" s="9" t="s">
        <v>15</v>
      </c>
      <c r="J9" s="9" t="s">
        <v>16</v>
      </c>
      <c r="K9" s="9" t="s">
        <v>17</v>
      </c>
      <c r="L9" s="9" t="s">
        <v>13</v>
      </c>
      <c r="M9" s="10"/>
      <c r="N9" s="175"/>
      <c r="O9" s="144"/>
      <c r="P9" s="11" t="s">
        <v>13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 ht="31.5" customHeight="1">
      <c r="B10" s="169">
        <v>1</v>
      </c>
      <c r="C10" s="163" t="s">
        <v>43</v>
      </c>
      <c r="D10" s="164">
        <v>3560</v>
      </c>
      <c r="E10" s="165"/>
      <c r="F10" s="164">
        <f>(D10*E10)+D10</f>
        <v>3560</v>
      </c>
      <c r="G10" s="12"/>
      <c r="H10" s="164">
        <v>1330</v>
      </c>
      <c r="I10" s="164">
        <v>1330</v>
      </c>
      <c r="J10" s="164">
        <v>1330</v>
      </c>
      <c r="K10" s="164">
        <v>760</v>
      </c>
      <c r="L10" s="164">
        <f>SUM(H10:K10)</f>
        <v>4750</v>
      </c>
      <c r="M10" s="12"/>
      <c r="N10" s="176" t="s">
        <v>19</v>
      </c>
      <c r="O10" s="128"/>
      <c r="P10" s="170">
        <f>F14</f>
        <v>7120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 ht="31.5" customHeight="1">
      <c r="B11" s="148"/>
      <c r="C11" s="148"/>
      <c r="D11" s="148"/>
      <c r="E11" s="148"/>
      <c r="F11" s="148"/>
      <c r="G11" s="12"/>
      <c r="H11" s="148"/>
      <c r="I11" s="148"/>
      <c r="J11" s="148"/>
      <c r="K11" s="148"/>
      <c r="L11" s="148"/>
      <c r="M11" s="12"/>
      <c r="N11" s="129"/>
      <c r="O11" s="130"/>
      <c r="P11" s="148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ht="31.5" customHeight="1">
      <c r="B12" s="171">
        <v>2</v>
      </c>
      <c r="C12" s="171" t="s">
        <v>44</v>
      </c>
      <c r="D12" s="172">
        <v>3560</v>
      </c>
      <c r="E12" s="173"/>
      <c r="F12" s="164">
        <f>(D12*E12)+D12</f>
        <v>3560</v>
      </c>
      <c r="G12" s="12"/>
      <c r="H12" s="172"/>
      <c r="I12" s="172">
        <v>1330</v>
      </c>
      <c r="J12" s="172"/>
      <c r="K12" s="172"/>
      <c r="L12" s="164">
        <f>SUM(H12:K12)</f>
        <v>1330</v>
      </c>
      <c r="M12" s="12"/>
      <c r="N12" s="127" t="s">
        <v>21</v>
      </c>
      <c r="O12" s="128"/>
      <c r="P12" s="167">
        <f>L14</f>
        <v>6080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 ht="31.5" customHeight="1">
      <c r="B13" s="148"/>
      <c r="C13" s="148"/>
      <c r="D13" s="148"/>
      <c r="E13" s="148"/>
      <c r="F13" s="148"/>
      <c r="G13" s="12"/>
      <c r="H13" s="148"/>
      <c r="I13" s="148"/>
      <c r="J13" s="148"/>
      <c r="K13" s="148"/>
      <c r="L13" s="148"/>
      <c r="M13" s="12"/>
      <c r="N13" s="129"/>
      <c r="O13" s="130"/>
      <c r="P13" s="148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ht="31.5" customHeight="1">
      <c r="B14" s="174" t="s">
        <v>19</v>
      </c>
      <c r="C14" s="146"/>
      <c r="D14" s="146"/>
      <c r="E14" s="144"/>
      <c r="F14" s="14">
        <f>SUM(F10:F13)</f>
        <v>7120</v>
      </c>
      <c r="G14" s="13"/>
      <c r="H14" s="168" t="s">
        <v>21</v>
      </c>
      <c r="I14" s="146"/>
      <c r="J14" s="146"/>
      <c r="K14" s="144"/>
      <c r="L14" s="15">
        <f>SUM(L10:L13)</f>
        <v>6080</v>
      </c>
      <c r="M14" s="13"/>
      <c r="N14" s="168" t="s">
        <v>25</v>
      </c>
      <c r="O14" s="144"/>
      <c r="P14" s="16">
        <f>SUM(P10:P13)</f>
        <v>13200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31.5" customHeight="1"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 ht="31.5" customHeight="1">
      <c r="B16" s="192" t="s">
        <v>26</v>
      </c>
      <c r="C16" s="193"/>
      <c r="D16" s="23" t="s">
        <v>9</v>
      </c>
      <c r="E16" s="192" t="s">
        <v>27</v>
      </c>
      <c r="F16" s="193"/>
      <c r="G16" s="6"/>
      <c r="H16" s="157" t="s">
        <v>26</v>
      </c>
      <c r="I16" s="144"/>
      <c r="J16" s="24" t="s">
        <v>9</v>
      </c>
      <c r="K16" s="157" t="s">
        <v>27</v>
      </c>
      <c r="L16" s="144"/>
      <c r="M16" s="6"/>
      <c r="N16" s="145" t="s">
        <v>28</v>
      </c>
      <c r="O16" s="146"/>
      <c r="P16" s="144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ht="31.5" customHeight="1">
      <c r="B17" s="189" t="s">
        <v>29</v>
      </c>
      <c r="C17" s="186"/>
      <c r="D17" s="194">
        <f>COUNT(B10:B13)</f>
        <v>2</v>
      </c>
      <c r="E17" s="196" t="s">
        <v>30</v>
      </c>
      <c r="F17" s="191"/>
      <c r="G17" s="19"/>
      <c r="H17" s="156" t="s">
        <v>31</v>
      </c>
      <c r="I17" s="128"/>
      <c r="J17" s="171">
        <f>COUNT(H10:H13)</f>
        <v>1</v>
      </c>
      <c r="K17" s="149" t="s">
        <v>32</v>
      </c>
      <c r="L17" s="128"/>
      <c r="M17" s="19"/>
      <c r="N17" s="139" t="s">
        <v>45</v>
      </c>
      <c r="O17" s="140"/>
      <c r="P17" s="128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31.5" customHeight="1">
      <c r="B18" s="187"/>
      <c r="C18" s="188"/>
      <c r="D18" s="195"/>
      <c r="E18" s="197"/>
      <c r="F18" s="151"/>
      <c r="G18" s="19"/>
      <c r="H18" s="129"/>
      <c r="I18" s="130"/>
      <c r="J18" s="148"/>
      <c r="K18" s="150"/>
      <c r="L18" s="151"/>
      <c r="M18" s="19"/>
      <c r="N18" s="129"/>
      <c r="O18" s="141"/>
      <c r="P18" s="130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31.5" customHeight="1">
      <c r="B19" s="185" t="s">
        <v>34</v>
      </c>
      <c r="C19" s="186"/>
      <c r="D19" s="200">
        <f>COUNT(B10:B15)*2</f>
        <v>4</v>
      </c>
      <c r="E19" s="197"/>
      <c r="F19" s="151"/>
      <c r="G19" s="19"/>
      <c r="H19" s="154" t="s">
        <v>15</v>
      </c>
      <c r="I19" s="128"/>
      <c r="J19" s="169">
        <f>COUNT(I10:I13)</f>
        <v>2</v>
      </c>
      <c r="K19" s="150"/>
      <c r="L19" s="151"/>
      <c r="M19" s="19"/>
      <c r="N19" s="142"/>
      <c r="O19" s="140"/>
      <c r="P19" s="128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31.5" customHeight="1">
      <c r="B20" s="187"/>
      <c r="C20" s="188"/>
      <c r="D20" s="195"/>
      <c r="E20" s="198"/>
      <c r="F20" s="199"/>
      <c r="G20" s="19"/>
      <c r="H20" s="129"/>
      <c r="I20" s="130"/>
      <c r="J20" s="148"/>
      <c r="K20" s="129"/>
      <c r="L20" s="130"/>
      <c r="M20" s="19"/>
      <c r="N20" s="129"/>
      <c r="O20" s="141"/>
      <c r="P20" s="130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31.5" customHeight="1">
      <c r="B21" s="189" t="s">
        <v>35</v>
      </c>
      <c r="C21" s="186"/>
      <c r="D21" s="203">
        <v>2</v>
      </c>
      <c r="E21" s="190" t="s">
        <v>36</v>
      </c>
      <c r="F21" s="191"/>
      <c r="G21" s="20"/>
      <c r="H21" s="156" t="s">
        <v>16</v>
      </c>
      <c r="I21" s="128"/>
      <c r="J21" s="171">
        <f>COUNT(J10:J13)</f>
        <v>1</v>
      </c>
      <c r="K21" s="149" t="s">
        <v>37</v>
      </c>
      <c r="L21" s="128"/>
      <c r="M21" s="19"/>
      <c r="N21" s="139"/>
      <c r="O21" s="140"/>
      <c r="P21" s="128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31.5" customHeight="1">
      <c r="B22" s="187"/>
      <c r="C22" s="188"/>
      <c r="D22" s="195"/>
      <c r="E22" s="178"/>
      <c r="F22" s="151"/>
      <c r="G22" s="20"/>
      <c r="H22" s="129"/>
      <c r="I22" s="130"/>
      <c r="J22" s="148"/>
      <c r="K22" s="150"/>
      <c r="L22" s="151"/>
      <c r="M22" s="19"/>
      <c r="N22" s="129"/>
      <c r="O22" s="141"/>
      <c r="P22" s="130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31.5" customHeight="1">
      <c r="B23" s="185" t="s">
        <v>38</v>
      </c>
      <c r="C23" s="186"/>
      <c r="D23" s="201">
        <v>2</v>
      </c>
      <c r="E23" s="178"/>
      <c r="F23" s="151"/>
      <c r="G23" s="20"/>
      <c r="H23" s="154" t="s">
        <v>17</v>
      </c>
      <c r="I23" s="128"/>
      <c r="J23" s="163">
        <f>COUNT(K10:K13)</f>
        <v>1</v>
      </c>
      <c r="K23" s="150"/>
      <c r="L23" s="151"/>
      <c r="M23" s="19"/>
      <c r="N23" s="142"/>
      <c r="O23" s="140"/>
      <c r="P23" s="128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31.5" customHeight="1">
      <c r="B24" s="187"/>
      <c r="C24" s="188"/>
      <c r="D24" s="195"/>
      <c r="E24" s="178"/>
      <c r="F24" s="151"/>
      <c r="G24" s="20"/>
      <c r="H24" s="129"/>
      <c r="I24" s="130"/>
      <c r="J24" s="148"/>
      <c r="K24" s="150"/>
      <c r="L24" s="151"/>
      <c r="M24" s="19"/>
      <c r="N24" s="129"/>
      <c r="O24" s="141"/>
      <c r="P24" s="130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31.5" customHeight="1">
      <c r="B25" s="189" t="s">
        <v>39</v>
      </c>
      <c r="C25" s="186"/>
      <c r="D25" s="203">
        <f>COUNT(B10:B13)</f>
        <v>2</v>
      </c>
      <c r="E25" s="178"/>
      <c r="F25" s="151"/>
      <c r="G25" s="20"/>
      <c r="H25" s="156" t="s">
        <v>40</v>
      </c>
      <c r="I25" s="128"/>
      <c r="J25" s="171">
        <v>0</v>
      </c>
      <c r="K25" s="150"/>
      <c r="L25" s="151"/>
      <c r="M25" s="19"/>
      <c r="N25" s="139"/>
      <c r="O25" s="140"/>
      <c r="P25" s="128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31.5" customHeight="1">
      <c r="B26" s="129"/>
      <c r="C26" s="202"/>
      <c r="D26" s="204"/>
      <c r="E26" s="141"/>
      <c r="F26" s="130"/>
      <c r="G26" s="20"/>
      <c r="H26" s="129"/>
      <c r="I26" s="130"/>
      <c r="J26" s="148"/>
      <c r="K26" s="129"/>
      <c r="L26" s="130"/>
      <c r="M26" s="19"/>
      <c r="N26" s="129"/>
      <c r="O26" s="141"/>
      <c r="P26" s="130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31.5" customHeight="1"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6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15.75" customHeight="1"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15.75" customHeight="1"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2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15.75" customHeight="1"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15.75" customHeight="1"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15.75" customHeight="1"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15.75" customHeight="1"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15.75" customHeight="1"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5.75" customHeight="1"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5.75" customHeight="1"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15.75" customHeight="1"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15.75" customHeight="1"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15.75" customHeight="1"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15.75" customHeight="1"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15.75" customHeight="1"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15.75" customHeight="1"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15.75" customHeight="1"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15.75" customHeight="1"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15.75" customHeight="1"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15.75" customHeight="1"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15.75" customHeight="1"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15.75" customHeight="1"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15.75" customHeight="1"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15.75" customHeight="1"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15.75" customHeight="1"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15.75" customHeight="1"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15.75" customHeight="1"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15.75" customHeight="1"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15.75" customHeight="1"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15.75" customHeight="1"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15.75" customHeight="1"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15.75" customHeight="1"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15.75" customHeight="1"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15.75" customHeight="1"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15.75" customHeight="1"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15.75" customHeight="1"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15.75" customHeight="1"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15.75" customHeight="1"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15.75" customHeight="1"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15.75" customHeight="1"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15.75" customHeight="1"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15.75" customHeight="1"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15.75" customHeight="1"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15.75" customHeight="1"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15.75" customHeight="1"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15.75" customHeight="1"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15.75" customHeight="1"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15.75" customHeight="1"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15.75" customHeight="1"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15.75" customHeight="1"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15.75" customHeight="1"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15.75" customHeight="1"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15.75" customHeight="1"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15.75" customHeight="1"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15.75" customHeight="1"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15.75" customHeight="1"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15.75" customHeight="1"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15.75" customHeight="1"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15.75" customHeight="1"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15.75" customHeight="1"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15.75" customHeight="1"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15.75" customHeight="1"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15.75" customHeight="1"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15.75" customHeight="1"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15.75" customHeight="1"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15.75" customHeight="1"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15.75" customHeight="1"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15.75" customHeight="1"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15.75" customHeight="1"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15.75" customHeight="1"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15.75" customHeight="1"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15.75" customHeight="1"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15.75" customHeight="1"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15.75" customHeight="1"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15.75" customHeight="1"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15.75" customHeight="1"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15.75" customHeight="1"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15.75" customHeight="1"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15.75" customHeight="1"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15.75" customHeight="1"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15.75" customHeight="1"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15.75" customHeight="1"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15.75" customHeight="1"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15.75" customHeight="1"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15.75" customHeight="1"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15.75" customHeight="1"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15.75" customHeight="1"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15.75" customHeight="1"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15.75" customHeight="1"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15.75" customHeight="1"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15.75" customHeight="1"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15.75" customHeight="1"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15.75" customHeight="1"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15.75" customHeight="1"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15.75" customHeight="1"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15.75" customHeight="1"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15.75" customHeight="1"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15.75" customHeight="1"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15.75" customHeight="1"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15.75" customHeight="1"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15.75" customHeight="1"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15.75" customHeight="1"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15.75" customHeight="1"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15.75" customHeight="1"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15.75" customHeight="1"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15.75" customHeight="1"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15.75" customHeight="1"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15.75" customHeight="1"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15.75" customHeight="1"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15.75" customHeight="1"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15.75" customHeight="1"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15.75" customHeight="1"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15.75" customHeight="1"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15.75" customHeight="1"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15.75" customHeight="1"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15.75" customHeight="1"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15.75" customHeight="1"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15.75" customHeight="1"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15.75" customHeight="1"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15.75" customHeight="1"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15.75" customHeight="1"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15.75" customHeight="1"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15.75" customHeight="1"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15.75" customHeight="1"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15.75" customHeight="1"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15.75" customHeight="1"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15.75" customHeight="1"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15.75" customHeight="1"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15.75" customHeight="1"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15.75" customHeight="1"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15.75" customHeight="1"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15.75" customHeight="1"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15.75" customHeight="1"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15.75" customHeight="1"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15.75" customHeight="1"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15.75" customHeight="1"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15.75" customHeight="1"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15.75" customHeight="1"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15.75" customHeight="1"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15.75" customHeight="1"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15.75" customHeight="1"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15.75" customHeight="1"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15.75" customHeight="1"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15.75" customHeight="1"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15.75" customHeight="1"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15.75" customHeight="1"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15.75" customHeight="1"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15.75" customHeight="1"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15.75" customHeight="1"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15.75" customHeight="1"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15.75" customHeight="1"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15.75" customHeight="1"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15.75" customHeight="1"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15.75" customHeight="1"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15.75" customHeight="1"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15.75" customHeight="1"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15.75" customHeight="1"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15.75" customHeight="1"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15.75" customHeight="1"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15.75" customHeight="1"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15.75" customHeight="1"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15.75" customHeight="1"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15.75" customHeight="1"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15.75" customHeight="1"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15.75" customHeight="1"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15.75" customHeight="1"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5.75" customHeight="1"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5.75" customHeight="1"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5.75" customHeight="1"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5.75" customHeight="1"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15.75" customHeight="1"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15.75" customHeight="1"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5.75" customHeight="1"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5.75" customHeight="1"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15.75" customHeight="1"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15.75" customHeight="1"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15.75" customHeight="1"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15.75" customHeight="1"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15.75" customHeight="1"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15.75" customHeight="1"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15.75" customHeight="1"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15.75" customHeight="1"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15.75" customHeight="1"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15.75" customHeight="1"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15.75" customHeight="1"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15.75" customHeight="1"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15.75" customHeight="1"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15.75" customHeight="1"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15.75" customHeight="1"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15.75" customHeight="1"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15.75" customHeight="1"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15.75" customHeight="1"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15.75" customHeight="1"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15.75" customHeight="1"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15.75" customHeight="1"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15.75" customHeight="1"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15.75" customHeight="1"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15.75" customHeight="1"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15.75" customHeight="1"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15.75" customHeight="1">
      <c r="D226" s="22"/>
    </row>
    <row r="227" spans="2:27" ht="15.75" customHeight="1">
      <c r="D227" s="22"/>
    </row>
    <row r="228" spans="2:27" ht="15.75" customHeight="1">
      <c r="D228" s="22"/>
    </row>
    <row r="229" spans="2:27" ht="15.75" customHeight="1">
      <c r="D229" s="22"/>
    </row>
    <row r="230" spans="2:27" ht="15.75" customHeight="1">
      <c r="D230" s="22"/>
    </row>
    <row r="231" spans="2:27" ht="15.75" customHeight="1">
      <c r="D231" s="22"/>
    </row>
    <row r="232" spans="2:27" ht="15.75" customHeight="1">
      <c r="D232" s="22"/>
    </row>
    <row r="233" spans="2:27" ht="15.75" customHeight="1">
      <c r="D233" s="22"/>
    </row>
    <row r="234" spans="2:27" ht="15.75" customHeight="1">
      <c r="D234" s="22"/>
    </row>
    <row r="235" spans="2:27" ht="15.75" customHeight="1">
      <c r="D235" s="22"/>
    </row>
    <row r="236" spans="2:27" ht="15.75" customHeight="1">
      <c r="D236" s="22"/>
    </row>
    <row r="237" spans="2:27" ht="15.75" customHeight="1">
      <c r="D237" s="22"/>
    </row>
    <row r="238" spans="2:27" ht="15.75" customHeight="1">
      <c r="D238" s="22"/>
    </row>
    <row r="239" spans="2:27" ht="15.75" customHeight="1">
      <c r="D239" s="22"/>
    </row>
    <row r="240" spans="2:27" ht="15.75" customHeight="1">
      <c r="D240" s="22"/>
    </row>
    <row r="241" spans="4:4" ht="15.75" customHeight="1">
      <c r="D241" s="22"/>
    </row>
    <row r="242" spans="4:4" ht="15.75" customHeight="1">
      <c r="D242" s="22"/>
    </row>
    <row r="243" spans="4:4" ht="15.75" customHeight="1">
      <c r="D243" s="22"/>
    </row>
    <row r="244" spans="4:4" ht="15.75" customHeight="1">
      <c r="D244" s="22"/>
    </row>
    <row r="245" spans="4:4" ht="15.75" customHeight="1">
      <c r="D245" s="22"/>
    </row>
    <row r="246" spans="4:4" ht="15.75" customHeight="1">
      <c r="D246" s="22"/>
    </row>
    <row r="247" spans="4:4" ht="15.75" customHeight="1">
      <c r="D247" s="22"/>
    </row>
    <row r="248" spans="4:4" ht="15.75" customHeight="1">
      <c r="D248" s="22"/>
    </row>
    <row r="249" spans="4:4" ht="15.75" customHeight="1">
      <c r="D249" s="22"/>
    </row>
    <row r="250" spans="4:4" ht="15.75" customHeight="1">
      <c r="D250" s="22"/>
    </row>
    <row r="251" spans="4:4" ht="15.75" customHeight="1">
      <c r="D251" s="22"/>
    </row>
    <row r="252" spans="4:4" ht="15.75" customHeight="1">
      <c r="D252" s="22"/>
    </row>
    <row r="253" spans="4:4" ht="15.75" customHeight="1">
      <c r="D253" s="22"/>
    </row>
    <row r="254" spans="4:4" ht="15.75" customHeight="1">
      <c r="D254" s="22"/>
    </row>
    <row r="255" spans="4:4" ht="15.75" customHeight="1">
      <c r="D255" s="22"/>
    </row>
    <row r="256" spans="4:4" ht="15.75" customHeight="1">
      <c r="D256" s="22"/>
    </row>
    <row r="257" spans="4:4" ht="15.75" customHeight="1">
      <c r="D257" s="22"/>
    </row>
    <row r="258" spans="4:4" ht="15.75" customHeight="1">
      <c r="D258" s="22"/>
    </row>
    <row r="259" spans="4:4" ht="15.75" customHeight="1">
      <c r="D259" s="22"/>
    </row>
    <row r="260" spans="4:4" ht="15.75" customHeight="1">
      <c r="D260" s="22"/>
    </row>
    <row r="261" spans="4:4" ht="15.75" customHeight="1">
      <c r="D261" s="22"/>
    </row>
    <row r="262" spans="4:4" ht="15.75" customHeight="1">
      <c r="D262" s="22"/>
    </row>
    <row r="263" spans="4:4" ht="15.75" customHeight="1">
      <c r="D263" s="22"/>
    </row>
    <row r="264" spans="4:4" ht="15.75" customHeight="1">
      <c r="D264" s="22"/>
    </row>
    <row r="265" spans="4:4" ht="15.75" customHeight="1">
      <c r="D265" s="22"/>
    </row>
    <row r="266" spans="4:4" ht="15.75" customHeight="1">
      <c r="D266" s="22"/>
    </row>
    <row r="267" spans="4:4" ht="15.75" customHeight="1">
      <c r="D267" s="22"/>
    </row>
    <row r="268" spans="4:4" ht="15.75" customHeight="1">
      <c r="D268" s="22"/>
    </row>
    <row r="269" spans="4:4" ht="15.75" customHeight="1">
      <c r="D269" s="22"/>
    </row>
    <row r="270" spans="4:4" ht="15.75" customHeight="1">
      <c r="D270" s="22"/>
    </row>
    <row r="271" spans="4:4" ht="15.75" customHeight="1">
      <c r="D271" s="22"/>
    </row>
    <row r="272" spans="4:4" ht="15.75" customHeight="1">
      <c r="D272" s="22"/>
    </row>
    <row r="273" spans="4:4" ht="15.75" customHeight="1">
      <c r="D273" s="22"/>
    </row>
    <row r="274" spans="4:4" ht="15.75" customHeight="1">
      <c r="D274" s="22"/>
    </row>
    <row r="275" spans="4:4" ht="15.75" customHeight="1">
      <c r="D275" s="22"/>
    </row>
    <row r="276" spans="4:4" ht="15.75" customHeight="1">
      <c r="D276" s="22"/>
    </row>
    <row r="277" spans="4:4" ht="15.75" customHeight="1">
      <c r="D277" s="22"/>
    </row>
    <row r="278" spans="4:4" ht="15.75" customHeight="1">
      <c r="D278" s="22"/>
    </row>
    <row r="279" spans="4:4" ht="15.75" customHeight="1">
      <c r="D279" s="22"/>
    </row>
    <row r="280" spans="4:4" ht="15.75" customHeight="1">
      <c r="D280" s="22"/>
    </row>
    <row r="281" spans="4:4" ht="15.75" customHeight="1">
      <c r="D281" s="22"/>
    </row>
    <row r="282" spans="4:4" ht="15.75" customHeight="1">
      <c r="D282" s="22"/>
    </row>
    <row r="283" spans="4:4" ht="15.75" customHeight="1">
      <c r="D283" s="22"/>
    </row>
    <row r="284" spans="4:4" ht="15.75" customHeight="1">
      <c r="D284" s="22"/>
    </row>
    <row r="285" spans="4:4" ht="15.75" customHeight="1">
      <c r="D285" s="22"/>
    </row>
    <row r="286" spans="4:4" ht="15.75" customHeight="1">
      <c r="D286" s="22"/>
    </row>
    <row r="287" spans="4:4" ht="15.75" customHeight="1">
      <c r="D287" s="22"/>
    </row>
    <row r="288" spans="4:4" ht="15.75" customHeight="1">
      <c r="D288" s="22"/>
    </row>
    <row r="289" spans="4:4" ht="15.75" customHeight="1">
      <c r="D289" s="22"/>
    </row>
    <row r="290" spans="4:4" ht="15.75" customHeight="1">
      <c r="D290" s="22"/>
    </row>
    <row r="291" spans="4:4" ht="15.75" customHeight="1">
      <c r="D291" s="22"/>
    </row>
    <row r="292" spans="4:4" ht="15.75" customHeight="1">
      <c r="D292" s="22"/>
    </row>
    <row r="293" spans="4:4" ht="15.75" customHeight="1">
      <c r="D293" s="22"/>
    </row>
    <row r="294" spans="4:4" ht="15.75" customHeight="1">
      <c r="D294" s="22"/>
    </row>
    <row r="295" spans="4:4" ht="15.75" customHeight="1">
      <c r="D295" s="22"/>
    </row>
    <row r="296" spans="4:4" ht="15.75" customHeight="1">
      <c r="D296" s="22"/>
    </row>
    <row r="297" spans="4:4" ht="15.75" customHeight="1">
      <c r="D297" s="22"/>
    </row>
    <row r="298" spans="4:4" ht="15.75" customHeight="1">
      <c r="D298" s="22"/>
    </row>
    <row r="299" spans="4:4" ht="15.75" customHeight="1">
      <c r="D299" s="22"/>
    </row>
    <row r="300" spans="4:4" ht="15.75" customHeight="1">
      <c r="D300" s="22"/>
    </row>
    <row r="301" spans="4:4" ht="15.75" customHeight="1">
      <c r="D301" s="22"/>
    </row>
    <row r="302" spans="4:4" ht="15.75" customHeight="1">
      <c r="D302" s="22"/>
    </row>
    <row r="303" spans="4:4" ht="15.75" customHeight="1">
      <c r="D303" s="22"/>
    </row>
    <row r="304" spans="4:4" ht="15.75" customHeight="1">
      <c r="D304" s="22"/>
    </row>
    <row r="305" spans="4:4" ht="15.75" customHeight="1">
      <c r="D305" s="22"/>
    </row>
    <row r="306" spans="4:4" ht="15.75" customHeight="1">
      <c r="D306" s="22"/>
    </row>
    <row r="307" spans="4:4" ht="15.75" customHeight="1">
      <c r="D307" s="22"/>
    </row>
    <row r="308" spans="4:4" ht="15.75" customHeight="1">
      <c r="D308" s="22"/>
    </row>
    <row r="309" spans="4:4" ht="15.75" customHeight="1">
      <c r="D309" s="22"/>
    </row>
    <row r="310" spans="4:4" ht="15.75" customHeight="1">
      <c r="D310" s="22"/>
    </row>
    <row r="311" spans="4:4" ht="15.75" customHeight="1">
      <c r="D311" s="22"/>
    </row>
    <row r="312" spans="4:4" ht="15.75" customHeight="1">
      <c r="D312" s="22"/>
    </row>
    <row r="313" spans="4:4" ht="15.75" customHeight="1">
      <c r="D313" s="22"/>
    </row>
    <row r="314" spans="4:4" ht="15.75" customHeight="1">
      <c r="D314" s="22"/>
    </row>
    <row r="315" spans="4:4" ht="15.75" customHeight="1">
      <c r="D315" s="22"/>
    </row>
    <row r="316" spans="4:4" ht="15.75" customHeight="1">
      <c r="D316" s="22"/>
    </row>
    <row r="317" spans="4:4" ht="15.75" customHeight="1">
      <c r="D317" s="22"/>
    </row>
    <row r="318" spans="4:4" ht="15.75" customHeight="1">
      <c r="D318" s="22"/>
    </row>
    <row r="319" spans="4:4" ht="15.75" customHeight="1">
      <c r="D319" s="22"/>
    </row>
    <row r="320" spans="4:4" ht="15.75" customHeight="1">
      <c r="D320" s="22"/>
    </row>
    <row r="321" spans="4:4" ht="15.75" customHeight="1">
      <c r="D321" s="22"/>
    </row>
    <row r="322" spans="4:4" ht="15.75" customHeight="1">
      <c r="D322" s="22"/>
    </row>
    <row r="323" spans="4:4" ht="15.75" customHeight="1">
      <c r="D323" s="22"/>
    </row>
    <row r="324" spans="4:4" ht="15.75" customHeight="1">
      <c r="D324" s="22"/>
    </row>
    <row r="325" spans="4:4" ht="15.75" customHeight="1">
      <c r="D325" s="22"/>
    </row>
    <row r="326" spans="4:4" ht="15.75" customHeight="1">
      <c r="D326" s="22"/>
    </row>
    <row r="327" spans="4:4" ht="15.75" customHeight="1">
      <c r="D327" s="22"/>
    </row>
    <row r="328" spans="4:4" ht="15.75" customHeight="1">
      <c r="D328" s="22"/>
    </row>
    <row r="329" spans="4:4" ht="15.75" customHeight="1">
      <c r="D329" s="22"/>
    </row>
    <row r="330" spans="4:4" ht="15.75" customHeight="1">
      <c r="D330" s="22"/>
    </row>
    <row r="331" spans="4:4" ht="15.75" customHeight="1">
      <c r="D331" s="22"/>
    </row>
    <row r="332" spans="4:4" ht="15.75" customHeight="1">
      <c r="D332" s="22"/>
    </row>
    <row r="333" spans="4:4" ht="15.75" customHeight="1">
      <c r="D333" s="22"/>
    </row>
    <row r="334" spans="4:4" ht="15.75" customHeight="1">
      <c r="D334" s="22"/>
    </row>
    <row r="335" spans="4:4" ht="15.75" customHeight="1">
      <c r="D335" s="22"/>
    </row>
    <row r="336" spans="4:4" ht="15.75" customHeight="1">
      <c r="D336" s="22"/>
    </row>
    <row r="337" spans="4:4" ht="15.75" customHeight="1">
      <c r="D337" s="22"/>
    </row>
    <row r="338" spans="4:4" ht="15.75" customHeight="1">
      <c r="D338" s="22"/>
    </row>
    <row r="339" spans="4:4" ht="15.75" customHeight="1">
      <c r="D339" s="22"/>
    </row>
    <row r="340" spans="4:4" ht="15.75" customHeight="1">
      <c r="D340" s="22"/>
    </row>
    <row r="341" spans="4:4" ht="15.75" customHeight="1">
      <c r="D341" s="22"/>
    </row>
    <row r="342" spans="4:4" ht="15.75" customHeight="1">
      <c r="D342" s="22"/>
    </row>
    <row r="343" spans="4:4" ht="15.75" customHeight="1">
      <c r="D343" s="22"/>
    </row>
    <row r="344" spans="4:4" ht="15.75" customHeight="1">
      <c r="D344" s="22"/>
    </row>
    <row r="345" spans="4:4" ht="15.75" customHeight="1">
      <c r="D345" s="22"/>
    </row>
    <row r="346" spans="4:4" ht="15.75" customHeight="1">
      <c r="D346" s="22"/>
    </row>
    <row r="347" spans="4:4" ht="15.75" customHeight="1">
      <c r="D347" s="22"/>
    </row>
    <row r="348" spans="4:4" ht="15.75" customHeight="1">
      <c r="D348" s="22"/>
    </row>
    <row r="349" spans="4:4" ht="15.75" customHeight="1">
      <c r="D349" s="22"/>
    </row>
    <row r="350" spans="4:4" ht="15.75" customHeight="1">
      <c r="D350" s="22"/>
    </row>
    <row r="351" spans="4:4" ht="15.75" customHeight="1">
      <c r="D351" s="22"/>
    </row>
    <row r="352" spans="4:4" ht="15.75" customHeight="1">
      <c r="D352" s="22"/>
    </row>
    <row r="353" spans="4:4" ht="15.75" customHeight="1">
      <c r="D353" s="22"/>
    </row>
    <row r="354" spans="4:4" ht="15.75" customHeight="1">
      <c r="D354" s="22"/>
    </row>
    <row r="355" spans="4:4" ht="15.75" customHeight="1">
      <c r="D355" s="22"/>
    </row>
    <row r="356" spans="4:4" ht="15.75" customHeight="1">
      <c r="D356" s="22"/>
    </row>
    <row r="357" spans="4:4" ht="15.75" customHeight="1">
      <c r="D357" s="22"/>
    </row>
    <row r="358" spans="4:4" ht="15.75" customHeight="1">
      <c r="D358" s="22"/>
    </row>
    <row r="359" spans="4:4" ht="15.75" customHeight="1">
      <c r="D359" s="22"/>
    </row>
    <row r="360" spans="4:4" ht="15.75" customHeight="1">
      <c r="D360" s="22"/>
    </row>
    <row r="361" spans="4:4" ht="15.75" customHeight="1">
      <c r="D361" s="22"/>
    </row>
    <row r="362" spans="4:4" ht="15.75" customHeight="1">
      <c r="D362" s="22"/>
    </row>
    <row r="363" spans="4:4" ht="15.75" customHeight="1">
      <c r="D363" s="22"/>
    </row>
    <row r="364" spans="4:4" ht="15.75" customHeight="1">
      <c r="D364" s="22"/>
    </row>
    <row r="365" spans="4:4" ht="15.75" customHeight="1">
      <c r="D365" s="22"/>
    </row>
    <row r="366" spans="4:4" ht="15.75" customHeight="1">
      <c r="D366" s="22"/>
    </row>
    <row r="367" spans="4:4" ht="15.75" customHeight="1">
      <c r="D367" s="22"/>
    </row>
    <row r="368" spans="4:4" ht="15.75" customHeight="1">
      <c r="D368" s="22"/>
    </row>
    <row r="369" spans="4:4" ht="15.75" customHeight="1">
      <c r="D369" s="22"/>
    </row>
    <row r="370" spans="4:4" ht="15.75" customHeight="1">
      <c r="D370" s="22"/>
    </row>
    <row r="371" spans="4:4" ht="15.75" customHeight="1">
      <c r="D371" s="22"/>
    </row>
    <row r="372" spans="4:4" ht="15.75" customHeight="1">
      <c r="D372" s="22"/>
    </row>
    <row r="373" spans="4:4" ht="15.75" customHeight="1">
      <c r="D373" s="22"/>
    </row>
    <row r="374" spans="4:4" ht="15.75" customHeight="1">
      <c r="D374" s="22"/>
    </row>
    <row r="375" spans="4:4" ht="15.75" customHeight="1">
      <c r="D375" s="22"/>
    </row>
    <row r="376" spans="4:4" ht="15.75" customHeight="1">
      <c r="D376" s="22"/>
    </row>
    <row r="377" spans="4:4" ht="15.75" customHeight="1">
      <c r="D377" s="22"/>
    </row>
    <row r="378" spans="4:4" ht="15.75" customHeight="1">
      <c r="D378" s="22"/>
    </row>
    <row r="379" spans="4:4" ht="15.75" customHeight="1">
      <c r="D379" s="22"/>
    </row>
    <row r="380" spans="4:4" ht="15.75" customHeight="1">
      <c r="D380" s="22"/>
    </row>
    <row r="381" spans="4:4" ht="15.75" customHeight="1">
      <c r="D381" s="22"/>
    </row>
    <row r="382" spans="4:4" ht="15.75" customHeight="1">
      <c r="D382" s="22"/>
    </row>
    <row r="383" spans="4:4" ht="15.75" customHeight="1">
      <c r="D383" s="22"/>
    </row>
    <row r="384" spans="4:4" ht="15.75" customHeight="1">
      <c r="D384" s="22"/>
    </row>
    <row r="385" spans="4:4" ht="15.75" customHeight="1">
      <c r="D385" s="22"/>
    </row>
    <row r="386" spans="4:4" ht="15.75" customHeight="1">
      <c r="D386" s="22"/>
    </row>
    <row r="387" spans="4:4" ht="15.75" customHeight="1">
      <c r="D387" s="22"/>
    </row>
    <row r="388" spans="4:4" ht="15.75" customHeight="1">
      <c r="D388" s="22"/>
    </row>
    <row r="389" spans="4:4" ht="15.75" customHeight="1">
      <c r="D389" s="22"/>
    </row>
    <row r="390" spans="4:4" ht="15.75" customHeight="1">
      <c r="D390" s="22"/>
    </row>
    <row r="391" spans="4:4" ht="15.75" customHeight="1">
      <c r="D391" s="22"/>
    </row>
    <row r="392" spans="4:4" ht="15.75" customHeight="1">
      <c r="D392" s="22"/>
    </row>
    <row r="393" spans="4:4" ht="15.75" customHeight="1">
      <c r="D393" s="22"/>
    </row>
    <row r="394" spans="4:4" ht="15.75" customHeight="1">
      <c r="D394" s="22"/>
    </row>
    <row r="395" spans="4:4" ht="15.75" customHeight="1">
      <c r="D395" s="22"/>
    </row>
    <row r="396" spans="4:4" ht="15.75" customHeight="1">
      <c r="D396" s="22"/>
    </row>
    <row r="397" spans="4:4" ht="15.75" customHeight="1">
      <c r="D397" s="22"/>
    </row>
    <row r="398" spans="4:4" ht="15.75" customHeight="1">
      <c r="D398" s="22"/>
    </row>
    <row r="399" spans="4:4" ht="15.75" customHeight="1">
      <c r="D399" s="22"/>
    </row>
    <row r="400" spans="4:4" ht="15.75" customHeight="1">
      <c r="D400" s="22"/>
    </row>
    <row r="401" spans="4:4" ht="15.75" customHeight="1">
      <c r="D401" s="22"/>
    </row>
    <row r="402" spans="4:4" ht="15.75" customHeight="1">
      <c r="D402" s="22"/>
    </row>
    <row r="403" spans="4:4" ht="15.75" customHeight="1">
      <c r="D403" s="22"/>
    </row>
    <row r="404" spans="4:4" ht="15.75" customHeight="1">
      <c r="D404" s="22"/>
    </row>
    <row r="405" spans="4:4" ht="15.75" customHeight="1">
      <c r="D405" s="22"/>
    </row>
    <row r="406" spans="4:4" ht="15.75" customHeight="1">
      <c r="D406" s="22"/>
    </row>
    <row r="407" spans="4:4" ht="15.75" customHeight="1">
      <c r="D407" s="22"/>
    </row>
    <row r="408" spans="4:4" ht="15.75" customHeight="1">
      <c r="D408" s="22"/>
    </row>
    <row r="409" spans="4:4" ht="15.75" customHeight="1">
      <c r="D409" s="22"/>
    </row>
    <row r="410" spans="4:4" ht="15.75" customHeight="1">
      <c r="D410" s="22"/>
    </row>
    <row r="411" spans="4:4" ht="15.75" customHeight="1">
      <c r="D411" s="22"/>
    </row>
    <row r="412" spans="4:4" ht="15.75" customHeight="1">
      <c r="D412" s="22"/>
    </row>
    <row r="413" spans="4:4" ht="15.75" customHeight="1">
      <c r="D413" s="22"/>
    </row>
    <row r="414" spans="4:4" ht="15.75" customHeight="1">
      <c r="D414" s="22"/>
    </row>
    <row r="415" spans="4:4" ht="15.75" customHeight="1">
      <c r="D415" s="22"/>
    </row>
    <row r="416" spans="4:4" ht="15.75" customHeight="1">
      <c r="D416" s="22"/>
    </row>
    <row r="417" spans="4:4" ht="15.75" customHeight="1">
      <c r="D417" s="22"/>
    </row>
    <row r="418" spans="4:4" ht="15.75" customHeight="1">
      <c r="D418" s="22"/>
    </row>
    <row r="419" spans="4:4" ht="15.75" customHeight="1">
      <c r="D419" s="22"/>
    </row>
    <row r="420" spans="4:4" ht="15.75" customHeight="1">
      <c r="D420" s="22"/>
    </row>
    <row r="421" spans="4:4" ht="15.75" customHeight="1">
      <c r="D421" s="22"/>
    </row>
    <row r="422" spans="4:4" ht="15.75" customHeight="1">
      <c r="D422" s="22"/>
    </row>
    <row r="423" spans="4:4" ht="15.75" customHeight="1">
      <c r="D423" s="22"/>
    </row>
    <row r="424" spans="4:4" ht="15.75" customHeight="1">
      <c r="D424" s="22"/>
    </row>
    <row r="425" spans="4:4" ht="15.75" customHeight="1">
      <c r="D425" s="22"/>
    </row>
    <row r="426" spans="4:4" ht="15.75" customHeight="1">
      <c r="D426" s="22"/>
    </row>
    <row r="427" spans="4:4" ht="15.75" customHeight="1">
      <c r="D427" s="22"/>
    </row>
    <row r="428" spans="4:4" ht="15.75" customHeight="1">
      <c r="D428" s="22"/>
    </row>
    <row r="429" spans="4:4" ht="15.75" customHeight="1">
      <c r="D429" s="22"/>
    </row>
    <row r="430" spans="4:4" ht="15.75" customHeight="1">
      <c r="D430" s="22"/>
    </row>
    <row r="431" spans="4:4" ht="15.75" customHeight="1">
      <c r="D431" s="22"/>
    </row>
    <row r="432" spans="4:4" ht="15.75" customHeight="1">
      <c r="D432" s="22"/>
    </row>
    <row r="433" spans="4:4" ht="15.75" customHeight="1">
      <c r="D433" s="22"/>
    </row>
    <row r="434" spans="4:4" ht="15.75" customHeight="1">
      <c r="D434" s="22"/>
    </row>
    <row r="435" spans="4:4" ht="15.75" customHeight="1">
      <c r="D435" s="22"/>
    </row>
    <row r="436" spans="4:4" ht="15.75" customHeight="1">
      <c r="D436" s="22"/>
    </row>
    <row r="437" spans="4:4" ht="15.75" customHeight="1">
      <c r="D437" s="22"/>
    </row>
    <row r="438" spans="4:4" ht="15.75" customHeight="1">
      <c r="D438" s="22"/>
    </row>
    <row r="439" spans="4:4" ht="15.75" customHeight="1">
      <c r="D439" s="22"/>
    </row>
    <row r="440" spans="4:4" ht="15.75" customHeight="1">
      <c r="D440" s="22"/>
    </row>
    <row r="441" spans="4:4" ht="15.75" customHeight="1">
      <c r="D441" s="22"/>
    </row>
    <row r="442" spans="4:4" ht="15.75" customHeight="1">
      <c r="D442" s="22"/>
    </row>
    <row r="443" spans="4:4" ht="15.75" customHeight="1">
      <c r="D443" s="22"/>
    </row>
    <row r="444" spans="4:4" ht="15.75" customHeight="1">
      <c r="D444" s="22"/>
    </row>
    <row r="445" spans="4:4" ht="15.75" customHeight="1">
      <c r="D445" s="22"/>
    </row>
    <row r="446" spans="4:4" ht="15.75" customHeight="1">
      <c r="D446" s="22"/>
    </row>
    <row r="447" spans="4:4" ht="15.75" customHeight="1">
      <c r="D447" s="22"/>
    </row>
    <row r="448" spans="4:4" ht="15.75" customHeight="1">
      <c r="D448" s="22"/>
    </row>
    <row r="449" spans="4:4" ht="15.75" customHeight="1">
      <c r="D449" s="22"/>
    </row>
    <row r="450" spans="4:4" ht="15.75" customHeight="1">
      <c r="D450" s="22"/>
    </row>
    <row r="451" spans="4:4" ht="15.75" customHeight="1">
      <c r="D451" s="22"/>
    </row>
    <row r="452" spans="4:4" ht="15.75" customHeight="1">
      <c r="D452" s="22"/>
    </row>
    <row r="453" spans="4:4" ht="15.75" customHeight="1">
      <c r="D453" s="22"/>
    </row>
    <row r="454" spans="4:4" ht="15.75" customHeight="1">
      <c r="D454" s="22"/>
    </row>
    <row r="455" spans="4:4" ht="15.75" customHeight="1">
      <c r="D455" s="22"/>
    </row>
    <row r="456" spans="4:4" ht="15.75" customHeight="1">
      <c r="D456" s="22"/>
    </row>
    <row r="457" spans="4:4" ht="15.75" customHeight="1">
      <c r="D457" s="22"/>
    </row>
    <row r="458" spans="4:4" ht="15.75" customHeight="1">
      <c r="D458" s="22"/>
    </row>
    <row r="459" spans="4:4" ht="15.75" customHeight="1">
      <c r="D459" s="22"/>
    </row>
    <row r="460" spans="4:4" ht="15.75" customHeight="1">
      <c r="D460" s="22"/>
    </row>
    <row r="461" spans="4:4" ht="15.75" customHeight="1">
      <c r="D461" s="22"/>
    </row>
    <row r="462" spans="4:4" ht="15.75" customHeight="1">
      <c r="D462" s="22"/>
    </row>
    <row r="463" spans="4:4" ht="15.75" customHeight="1">
      <c r="D463" s="22"/>
    </row>
    <row r="464" spans="4:4" ht="15.75" customHeight="1">
      <c r="D464" s="22"/>
    </row>
    <row r="465" spans="4:4" ht="15.75" customHeight="1">
      <c r="D465" s="22"/>
    </row>
    <row r="466" spans="4:4" ht="15.75" customHeight="1">
      <c r="D466" s="22"/>
    </row>
    <row r="467" spans="4:4" ht="15.75" customHeight="1">
      <c r="D467" s="22"/>
    </row>
    <row r="468" spans="4:4" ht="15.75" customHeight="1">
      <c r="D468" s="22"/>
    </row>
    <row r="469" spans="4:4" ht="15.75" customHeight="1">
      <c r="D469" s="22"/>
    </row>
    <row r="470" spans="4:4" ht="15.75" customHeight="1">
      <c r="D470" s="22"/>
    </row>
    <row r="471" spans="4:4" ht="15.75" customHeight="1">
      <c r="D471" s="22"/>
    </row>
    <row r="472" spans="4:4" ht="15.75" customHeight="1">
      <c r="D472" s="22"/>
    </row>
    <row r="473" spans="4:4" ht="15.75" customHeight="1">
      <c r="D473" s="22"/>
    </row>
    <row r="474" spans="4:4" ht="15.75" customHeight="1">
      <c r="D474" s="22"/>
    </row>
    <row r="475" spans="4:4" ht="15.75" customHeight="1">
      <c r="D475" s="22"/>
    </row>
    <row r="476" spans="4:4" ht="15.75" customHeight="1">
      <c r="D476" s="22"/>
    </row>
    <row r="477" spans="4:4" ht="15.75" customHeight="1">
      <c r="D477" s="22"/>
    </row>
    <row r="478" spans="4:4" ht="15.75" customHeight="1">
      <c r="D478" s="22"/>
    </row>
    <row r="479" spans="4:4" ht="15.75" customHeight="1">
      <c r="D479" s="22"/>
    </row>
    <row r="480" spans="4:4" ht="15.75" customHeight="1">
      <c r="D480" s="22"/>
    </row>
    <row r="481" spans="4:4" ht="15.75" customHeight="1">
      <c r="D481" s="22"/>
    </row>
    <row r="482" spans="4:4" ht="15.75" customHeight="1">
      <c r="D482" s="22"/>
    </row>
    <row r="483" spans="4:4" ht="15.75" customHeight="1">
      <c r="D483" s="22"/>
    </row>
    <row r="484" spans="4:4" ht="15.75" customHeight="1">
      <c r="D484" s="22"/>
    </row>
    <row r="485" spans="4:4" ht="15.75" customHeight="1">
      <c r="D485" s="22"/>
    </row>
    <row r="486" spans="4:4" ht="15.75" customHeight="1">
      <c r="D486" s="22"/>
    </row>
    <row r="487" spans="4:4" ht="15.75" customHeight="1">
      <c r="D487" s="22"/>
    </row>
    <row r="488" spans="4:4" ht="15.75" customHeight="1">
      <c r="D488" s="22"/>
    </row>
    <row r="489" spans="4:4" ht="15.75" customHeight="1">
      <c r="D489" s="22"/>
    </row>
    <row r="490" spans="4:4" ht="15.75" customHeight="1">
      <c r="D490" s="22"/>
    </row>
    <row r="491" spans="4:4" ht="15.75" customHeight="1">
      <c r="D491" s="22"/>
    </row>
    <row r="492" spans="4:4" ht="15.75" customHeight="1">
      <c r="D492" s="22"/>
    </row>
    <row r="493" spans="4:4" ht="15.75" customHeight="1">
      <c r="D493" s="22"/>
    </row>
    <row r="494" spans="4:4" ht="15.75" customHeight="1">
      <c r="D494" s="22"/>
    </row>
    <row r="495" spans="4:4" ht="15.75" customHeight="1">
      <c r="D495" s="22"/>
    </row>
    <row r="496" spans="4:4" ht="15.75" customHeight="1">
      <c r="D496" s="22"/>
    </row>
    <row r="497" spans="4:4" ht="15.75" customHeight="1">
      <c r="D497" s="22"/>
    </row>
    <row r="498" spans="4:4" ht="15.75" customHeight="1">
      <c r="D498" s="22"/>
    </row>
    <row r="499" spans="4:4" ht="15.75" customHeight="1">
      <c r="D499" s="22"/>
    </row>
    <row r="500" spans="4:4" ht="15.75" customHeight="1">
      <c r="D500" s="22"/>
    </row>
    <row r="501" spans="4:4" ht="15.75" customHeight="1">
      <c r="D501" s="22"/>
    </row>
    <row r="502" spans="4:4" ht="15.75" customHeight="1">
      <c r="D502" s="22"/>
    </row>
    <row r="503" spans="4:4" ht="15.75" customHeight="1">
      <c r="D503" s="22"/>
    </row>
    <row r="504" spans="4:4" ht="15.75" customHeight="1">
      <c r="D504" s="22"/>
    </row>
    <row r="505" spans="4:4" ht="15.75" customHeight="1">
      <c r="D505" s="22"/>
    </row>
    <row r="506" spans="4:4" ht="15.75" customHeight="1">
      <c r="D506" s="22"/>
    </row>
    <row r="507" spans="4:4" ht="15.75" customHeight="1">
      <c r="D507" s="22"/>
    </row>
    <row r="508" spans="4:4" ht="15.75" customHeight="1">
      <c r="D508" s="22"/>
    </row>
    <row r="509" spans="4:4" ht="15.75" customHeight="1">
      <c r="D509" s="22"/>
    </row>
    <row r="510" spans="4:4" ht="15.75" customHeight="1">
      <c r="D510" s="22"/>
    </row>
    <row r="511" spans="4:4" ht="15.75" customHeight="1">
      <c r="D511" s="22"/>
    </row>
    <row r="512" spans="4:4" ht="15.75" customHeight="1">
      <c r="D512" s="22"/>
    </row>
    <row r="513" spans="4:4" ht="15.75" customHeight="1">
      <c r="D513" s="22"/>
    </row>
    <row r="514" spans="4:4" ht="15.75" customHeight="1">
      <c r="D514" s="22"/>
    </row>
    <row r="515" spans="4:4" ht="15.75" customHeight="1">
      <c r="D515" s="22"/>
    </row>
    <row r="516" spans="4:4" ht="15.75" customHeight="1">
      <c r="D516" s="22"/>
    </row>
    <row r="517" spans="4:4" ht="15.75" customHeight="1">
      <c r="D517" s="22"/>
    </row>
    <row r="518" spans="4:4" ht="15.75" customHeight="1">
      <c r="D518" s="22"/>
    </row>
    <row r="519" spans="4:4" ht="15.75" customHeight="1">
      <c r="D519" s="22"/>
    </row>
    <row r="520" spans="4:4" ht="15.75" customHeight="1">
      <c r="D520" s="22"/>
    </row>
    <row r="521" spans="4:4" ht="15.75" customHeight="1">
      <c r="D521" s="22"/>
    </row>
    <row r="522" spans="4:4" ht="15.75" customHeight="1">
      <c r="D522" s="22"/>
    </row>
    <row r="523" spans="4:4" ht="15.75" customHeight="1">
      <c r="D523" s="22"/>
    </row>
    <row r="524" spans="4:4" ht="15.75" customHeight="1">
      <c r="D524" s="22"/>
    </row>
    <row r="525" spans="4:4" ht="15.75" customHeight="1">
      <c r="D525" s="22"/>
    </row>
    <row r="526" spans="4:4" ht="15.75" customHeight="1">
      <c r="D526" s="22"/>
    </row>
    <row r="527" spans="4:4" ht="15.75" customHeight="1">
      <c r="D527" s="22"/>
    </row>
    <row r="528" spans="4:4" ht="15.75" customHeight="1">
      <c r="D528" s="22"/>
    </row>
    <row r="529" spans="4:4" ht="15.75" customHeight="1">
      <c r="D529" s="22"/>
    </row>
    <row r="530" spans="4:4" ht="15.75" customHeight="1">
      <c r="D530" s="22"/>
    </row>
    <row r="531" spans="4:4" ht="15.75" customHeight="1">
      <c r="D531" s="22"/>
    </row>
    <row r="532" spans="4:4" ht="15.75" customHeight="1">
      <c r="D532" s="22"/>
    </row>
    <row r="533" spans="4:4" ht="15.75" customHeight="1">
      <c r="D533" s="22"/>
    </row>
    <row r="534" spans="4:4" ht="15.75" customHeight="1">
      <c r="D534" s="22"/>
    </row>
    <row r="535" spans="4:4" ht="15.75" customHeight="1">
      <c r="D535" s="22"/>
    </row>
    <row r="536" spans="4:4" ht="15.75" customHeight="1">
      <c r="D536" s="22"/>
    </row>
    <row r="537" spans="4:4" ht="15.75" customHeight="1">
      <c r="D537" s="22"/>
    </row>
    <row r="538" spans="4:4" ht="15.75" customHeight="1">
      <c r="D538" s="22"/>
    </row>
    <row r="539" spans="4:4" ht="15.75" customHeight="1">
      <c r="D539" s="22"/>
    </row>
    <row r="540" spans="4:4" ht="15.75" customHeight="1">
      <c r="D540" s="22"/>
    </row>
    <row r="541" spans="4:4" ht="15.75" customHeight="1">
      <c r="D541" s="22"/>
    </row>
    <row r="542" spans="4:4" ht="15.75" customHeight="1">
      <c r="D542" s="22"/>
    </row>
    <row r="543" spans="4:4" ht="15.75" customHeight="1">
      <c r="D543" s="22"/>
    </row>
    <row r="544" spans="4:4" ht="15.75" customHeight="1">
      <c r="D544" s="22"/>
    </row>
    <row r="545" spans="4:4" ht="15.75" customHeight="1">
      <c r="D545" s="22"/>
    </row>
    <row r="546" spans="4:4" ht="15.75" customHeight="1">
      <c r="D546" s="22"/>
    </row>
    <row r="547" spans="4:4" ht="15.75" customHeight="1">
      <c r="D547" s="22"/>
    </row>
    <row r="548" spans="4:4" ht="15.75" customHeight="1">
      <c r="D548" s="22"/>
    </row>
    <row r="549" spans="4:4" ht="15.75" customHeight="1">
      <c r="D549" s="22"/>
    </row>
    <row r="550" spans="4:4" ht="15.75" customHeight="1">
      <c r="D550" s="22"/>
    </row>
    <row r="551" spans="4:4" ht="15.75" customHeight="1">
      <c r="D551" s="22"/>
    </row>
    <row r="552" spans="4:4" ht="15.75" customHeight="1">
      <c r="D552" s="22"/>
    </row>
    <row r="553" spans="4:4" ht="15.75" customHeight="1">
      <c r="D553" s="22"/>
    </row>
    <row r="554" spans="4:4" ht="15.75" customHeight="1">
      <c r="D554" s="22"/>
    </row>
    <row r="555" spans="4:4" ht="15.75" customHeight="1">
      <c r="D555" s="22"/>
    </row>
    <row r="556" spans="4:4" ht="15.75" customHeight="1">
      <c r="D556" s="22"/>
    </row>
    <row r="557" spans="4:4" ht="15.75" customHeight="1">
      <c r="D557" s="22"/>
    </row>
    <row r="558" spans="4:4" ht="15.75" customHeight="1">
      <c r="D558" s="22"/>
    </row>
    <row r="559" spans="4:4" ht="15.75" customHeight="1">
      <c r="D559" s="22"/>
    </row>
    <row r="560" spans="4:4" ht="15.75" customHeight="1">
      <c r="D560" s="22"/>
    </row>
    <row r="561" spans="4:4" ht="15.75" customHeight="1">
      <c r="D561" s="22"/>
    </row>
    <row r="562" spans="4:4" ht="15.75" customHeight="1">
      <c r="D562" s="22"/>
    </row>
    <row r="563" spans="4:4" ht="15.75" customHeight="1">
      <c r="D563" s="22"/>
    </row>
    <row r="564" spans="4:4" ht="15.75" customHeight="1">
      <c r="D564" s="22"/>
    </row>
    <row r="565" spans="4:4" ht="15.75" customHeight="1">
      <c r="D565" s="22"/>
    </row>
    <row r="566" spans="4:4" ht="15.75" customHeight="1">
      <c r="D566" s="22"/>
    </row>
    <row r="567" spans="4:4" ht="15.75" customHeight="1">
      <c r="D567" s="22"/>
    </row>
    <row r="568" spans="4:4" ht="15.75" customHeight="1">
      <c r="D568" s="22"/>
    </row>
    <row r="569" spans="4:4" ht="15.75" customHeight="1">
      <c r="D569" s="22"/>
    </row>
    <row r="570" spans="4:4" ht="15.75" customHeight="1">
      <c r="D570" s="22"/>
    </row>
    <row r="571" spans="4:4" ht="15.75" customHeight="1">
      <c r="D571" s="22"/>
    </row>
    <row r="572" spans="4:4" ht="15.75" customHeight="1">
      <c r="D572" s="22"/>
    </row>
    <row r="573" spans="4:4" ht="15.75" customHeight="1">
      <c r="D573" s="22"/>
    </row>
    <row r="574" spans="4:4" ht="15.75" customHeight="1">
      <c r="D574" s="22"/>
    </row>
    <row r="575" spans="4:4" ht="15.75" customHeight="1">
      <c r="D575" s="22"/>
    </row>
    <row r="576" spans="4:4" ht="15.75" customHeight="1">
      <c r="D576" s="22"/>
    </row>
    <row r="577" spans="4:4" ht="15.75" customHeight="1">
      <c r="D577" s="22"/>
    </row>
    <row r="578" spans="4:4" ht="15.75" customHeight="1">
      <c r="D578" s="22"/>
    </row>
    <row r="579" spans="4:4" ht="15.75" customHeight="1">
      <c r="D579" s="22"/>
    </row>
    <row r="580" spans="4:4" ht="15.75" customHeight="1">
      <c r="D580" s="22"/>
    </row>
    <row r="581" spans="4:4" ht="15.75" customHeight="1">
      <c r="D581" s="22"/>
    </row>
    <row r="582" spans="4:4" ht="15.75" customHeight="1">
      <c r="D582" s="22"/>
    </row>
    <row r="583" spans="4:4" ht="15.75" customHeight="1">
      <c r="D583" s="22"/>
    </row>
    <row r="584" spans="4:4" ht="15.75" customHeight="1">
      <c r="D584" s="22"/>
    </row>
    <row r="585" spans="4:4" ht="15.75" customHeight="1">
      <c r="D585" s="22"/>
    </row>
    <row r="586" spans="4:4" ht="15.75" customHeight="1">
      <c r="D586" s="22"/>
    </row>
    <row r="587" spans="4:4" ht="15.75" customHeight="1">
      <c r="D587" s="22"/>
    </row>
    <row r="588" spans="4:4" ht="15.75" customHeight="1">
      <c r="D588" s="22"/>
    </row>
    <row r="589" spans="4:4" ht="15.75" customHeight="1">
      <c r="D589" s="22"/>
    </row>
    <row r="590" spans="4:4" ht="15.75" customHeight="1">
      <c r="D590" s="22"/>
    </row>
    <row r="591" spans="4:4" ht="15.75" customHeight="1">
      <c r="D591" s="22"/>
    </row>
    <row r="592" spans="4:4" ht="15.75" customHeight="1">
      <c r="D592" s="22"/>
    </row>
    <row r="593" spans="4:4" ht="15.75" customHeight="1">
      <c r="D593" s="22"/>
    </row>
    <row r="594" spans="4:4" ht="15.75" customHeight="1">
      <c r="D594" s="22"/>
    </row>
    <row r="595" spans="4:4" ht="15.75" customHeight="1">
      <c r="D595" s="22"/>
    </row>
    <row r="596" spans="4:4" ht="15.75" customHeight="1">
      <c r="D596" s="22"/>
    </row>
    <row r="597" spans="4:4" ht="15.75" customHeight="1">
      <c r="D597" s="22"/>
    </row>
    <row r="598" spans="4:4" ht="15.75" customHeight="1">
      <c r="D598" s="22"/>
    </row>
    <row r="599" spans="4:4" ht="15.75" customHeight="1">
      <c r="D599" s="22"/>
    </row>
    <row r="600" spans="4:4" ht="15.75" customHeight="1">
      <c r="D600" s="22"/>
    </row>
    <row r="601" spans="4:4" ht="15.75" customHeight="1">
      <c r="D601" s="22"/>
    </row>
    <row r="602" spans="4:4" ht="15.75" customHeight="1">
      <c r="D602" s="22"/>
    </row>
    <row r="603" spans="4:4" ht="15.75" customHeight="1">
      <c r="D603" s="22"/>
    </row>
    <row r="604" spans="4:4" ht="15.75" customHeight="1">
      <c r="D604" s="22"/>
    </row>
    <row r="605" spans="4:4" ht="15.75" customHeight="1">
      <c r="D605" s="22"/>
    </row>
    <row r="606" spans="4:4" ht="15.75" customHeight="1">
      <c r="D606" s="22"/>
    </row>
    <row r="607" spans="4:4" ht="15.75" customHeight="1">
      <c r="D607" s="22"/>
    </row>
    <row r="608" spans="4:4" ht="15.75" customHeight="1">
      <c r="D608" s="22"/>
    </row>
    <row r="609" spans="4:4" ht="15.75" customHeight="1">
      <c r="D609" s="22"/>
    </row>
    <row r="610" spans="4:4" ht="15.75" customHeight="1">
      <c r="D610" s="22"/>
    </row>
    <row r="611" spans="4:4" ht="15.75" customHeight="1">
      <c r="D611" s="22"/>
    </row>
    <row r="612" spans="4:4" ht="15.75" customHeight="1">
      <c r="D612" s="22"/>
    </row>
    <row r="613" spans="4:4" ht="15.75" customHeight="1">
      <c r="D613" s="22"/>
    </row>
    <row r="614" spans="4:4" ht="15.75" customHeight="1">
      <c r="D614" s="22"/>
    </row>
    <row r="615" spans="4:4" ht="15.75" customHeight="1">
      <c r="D615" s="22"/>
    </row>
    <row r="616" spans="4:4" ht="15.75" customHeight="1">
      <c r="D616" s="22"/>
    </row>
    <row r="617" spans="4:4" ht="15.75" customHeight="1">
      <c r="D617" s="22"/>
    </row>
    <row r="618" spans="4:4" ht="15.75" customHeight="1">
      <c r="D618" s="22"/>
    </row>
    <row r="619" spans="4:4" ht="15.75" customHeight="1">
      <c r="D619" s="22"/>
    </row>
    <row r="620" spans="4:4" ht="15.75" customHeight="1">
      <c r="D620" s="22"/>
    </row>
    <row r="621" spans="4:4" ht="15.75" customHeight="1">
      <c r="D621" s="22"/>
    </row>
    <row r="622" spans="4:4" ht="15.75" customHeight="1">
      <c r="D622" s="22"/>
    </row>
    <row r="623" spans="4:4" ht="15.75" customHeight="1">
      <c r="D623" s="22"/>
    </row>
    <row r="624" spans="4:4" ht="15.75" customHeight="1">
      <c r="D624" s="22"/>
    </row>
    <row r="625" spans="4:4" ht="15.75" customHeight="1">
      <c r="D625" s="22"/>
    </row>
    <row r="626" spans="4:4" ht="15.75" customHeight="1">
      <c r="D626" s="22"/>
    </row>
    <row r="627" spans="4:4" ht="15.75" customHeight="1">
      <c r="D627" s="22"/>
    </row>
    <row r="628" spans="4:4" ht="15.75" customHeight="1">
      <c r="D628" s="22"/>
    </row>
    <row r="629" spans="4:4" ht="15.75" customHeight="1">
      <c r="D629" s="22"/>
    </row>
    <row r="630" spans="4:4" ht="15.75" customHeight="1">
      <c r="D630" s="22"/>
    </row>
    <row r="631" spans="4:4" ht="15.75" customHeight="1">
      <c r="D631" s="22"/>
    </row>
    <row r="632" spans="4:4" ht="15.75" customHeight="1">
      <c r="D632" s="22"/>
    </row>
    <row r="633" spans="4:4" ht="15.75" customHeight="1">
      <c r="D633" s="22"/>
    </row>
    <row r="634" spans="4:4" ht="15.75" customHeight="1">
      <c r="D634" s="22"/>
    </row>
    <row r="635" spans="4:4" ht="15.75" customHeight="1">
      <c r="D635" s="22"/>
    </row>
    <row r="636" spans="4:4" ht="15.75" customHeight="1">
      <c r="D636" s="22"/>
    </row>
    <row r="637" spans="4:4" ht="15.75" customHeight="1">
      <c r="D637" s="22"/>
    </row>
    <row r="638" spans="4:4" ht="15.75" customHeight="1">
      <c r="D638" s="22"/>
    </row>
    <row r="639" spans="4:4" ht="15.75" customHeight="1">
      <c r="D639" s="22"/>
    </row>
    <row r="640" spans="4:4" ht="15.75" customHeight="1">
      <c r="D640" s="22"/>
    </row>
    <row r="641" spans="4:4" ht="15.75" customHeight="1">
      <c r="D641" s="22"/>
    </row>
    <row r="642" spans="4:4" ht="15.75" customHeight="1">
      <c r="D642" s="22"/>
    </row>
    <row r="643" spans="4:4" ht="15.75" customHeight="1">
      <c r="D643" s="22"/>
    </row>
    <row r="644" spans="4:4" ht="15.75" customHeight="1">
      <c r="D644" s="22"/>
    </row>
    <row r="645" spans="4:4" ht="15.75" customHeight="1">
      <c r="D645" s="22"/>
    </row>
    <row r="646" spans="4:4" ht="15.75" customHeight="1">
      <c r="D646" s="22"/>
    </row>
    <row r="647" spans="4:4" ht="15.75" customHeight="1">
      <c r="D647" s="22"/>
    </row>
    <row r="648" spans="4:4" ht="15.75" customHeight="1">
      <c r="D648" s="22"/>
    </row>
    <row r="649" spans="4:4" ht="15.75" customHeight="1">
      <c r="D649" s="22"/>
    </row>
    <row r="650" spans="4:4" ht="15.75" customHeight="1">
      <c r="D650" s="22"/>
    </row>
    <row r="651" spans="4:4" ht="15.75" customHeight="1">
      <c r="D651" s="22"/>
    </row>
    <row r="652" spans="4:4" ht="15.75" customHeight="1">
      <c r="D652" s="22"/>
    </row>
    <row r="653" spans="4:4" ht="15.75" customHeight="1">
      <c r="D653" s="22"/>
    </row>
    <row r="654" spans="4:4" ht="15.75" customHeight="1">
      <c r="D654" s="22"/>
    </row>
    <row r="655" spans="4:4" ht="15.75" customHeight="1">
      <c r="D655" s="22"/>
    </row>
    <row r="656" spans="4:4" ht="15.75" customHeight="1">
      <c r="D656" s="22"/>
    </row>
    <row r="657" spans="4:4" ht="15.75" customHeight="1">
      <c r="D657" s="22"/>
    </row>
    <row r="658" spans="4:4" ht="15.75" customHeight="1">
      <c r="D658" s="22"/>
    </row>
    <row r="659" spans="4:4" ht="15.75" customHeight="1">
      <c r="D659" s="22"/>
    </row>
    <row r="660" spans="4:4" ht="15.75" customHeight="1">
      <c r="D660" s="22"/>
    </row>
    <row r="661" spans="4:4" ht="15.75" customHeight="1">
      <c r="D661" s="22"/>
    </row>
    <row r="662" spans="4:4" ht="15.75" customHeight="1">
      <c r="D662" s="22"/>
    </row>
    <row r="663" spans="4:4" ht="15.75" customHeight="1">
      <c r="D663" s="22"/>
    </row>
    <row r="664" spans="4:4" ht="15.75" customHeight="1">
      <c r="D664" s="22"/>
    </row>
    <row r="665" spans="4:4" ht="15.75" customHeight="1">
      <c r="D665" s="22"/>
    </row>
    <row r="666" spans="4:4" ht="15.75" customHeight="1">
      <c r="D666" s="22"/>
    </row>
    <row r="667" spans="4:4" ht="15.75" customHeight="1">
      <c r="D667" s="22"/>
    </row>
    <row r="668" spans="4:4" ht="15.75" customHeight="1">
      <c r="D668" s="22"/>
    </row>
    <row r="669" spans="4:4" ht="15.75" customHeight="1">
      <c r="D669" s="22"/>
    </row>
    <row r="670" spans="4:4" ht="15.75" customHeight="1">
      <c r="D670" s="22"/>
    </row>
    <row r="671" spans="4:4" ht="15.75" customHeight="1">
      <c r="D671" s="22"/>
    </row>
    <row r="672" spans="4:4" ht="15.75" customHeight="1">
      <c r="D672" s="22"/>
    </row>
    <row r="673" spans="4:4" ht="15.75" customHeight="1">
      <c r="D673" s="22"/>
    </row>
    <row r="674" spans="4:4" ht="15.75" customHeight="1">
      <c r="D674" s="22"/>
    </row>
    <row r="675" spans="4:4" ht="15.75" customHeight="1">
      <c r="D675" s="22"/>
    </row>
    <row r="676" spans="4:4" ht="15.75" customHeight="1">
      <c r="D676" s="22"/>
    </row>
    <row r="677" spans="4:4" ht="15.75" customHeight="1">
      <c r="D677" s="22"/>
    </row>
    <row r="678" spans="4:4" ht="15.75" customHeight="1">
      <c r="D678" s="22"/>
    </row>
    <row r="679" spans="4:4" ht="15.75" customHeight="1">
      <c r="D679" s="22"/>
    </row>
    <row r="680" spans="4:4" ht="15.75" customHeight="1">
      <c r="D680" s="22"/>
    </row>
    <row r="681" spans="4:4" ht="15.75" customHeight="1">
      <c r="D681" s="22"/>
    </row>
    <row r="682" spans="4:4" ht="15.75" customHeight="1">
      <c r="D682" s="22"/>
    </row>
    <row r="683" spans="4:4" ht="15.75" customHeight="1">
      <c r="D683" s="22"/>
    </row>
    <row r="684" spans="4:4" ht="15.75" customHeight="1">
      <c r="D684" s="22"/>
    </row>
    <row r="685" spans="4:4" ht="15.75" customHeight="1">
      <c r="D685" s="22"/>
    </row>
    <row r="686" spans="4:4" ht="15.75" customHeight="1">
      <c r="D686" s="22"/>
    </row>
    <row r="687" spans="4:4" ht="15.75" customHeight="1">
      <c r="D687" s="22"/>
    </row>
    <row r="688" spans="4:4" ht="15.75" customHeight="1">
      <c r="D688" s="22"/>
    </row>
    <row r="689" spans="4:4" ht="15.75" customHeight="1">
      <c r="D689" s="22"/>
    </row>
    <row r="690" spans="4:4" ht="15.75" customHeight="1">
      <c r="D690" s="22"/>
    </row>
    <row r="691" spans="4:4" ht="15.75" customHeight="1">
      <c r="D691" s="22"/>
    </row>
    <row r="692" spans="4:4" ht="15.75" customHeight="1">
      <c r="D692" s="22"/>
    </row>
    <row r="693" spans="4:4" ht="15.75" customHeight="1">
      <c r="D693" s="22"/>
    </row>
    <row r="694" spans="4:4" ht="15.75" customHeight="1">
      <c r="D694" s="22"/>
    </row>
    <row r="695" spans="4:4" ht="15.75" customHeight="1">
      <c r="D695" s="22"/>
    </row>
    <row r="696" spans="4:4" ht="15.75" customHeight="1">
      <c r="D696" s="22"/>
    </row>
    <row r="697" spans="4:4" ht="15.75" customHeight="1">
      <c r="D697" s="22"/>
    </row>
    <row r="698" spans="4:4" ht="15.75" customHeight="1">
      <c r="D698" s="22"/>
    </row>
    <row r="699" spans="4:4" ht="15.75" customHeight="1">
      <c r="D699" s="22"/>
    </row>
    <row r="700" spans="4:4" ht="15.75" customHeight="1">
      <c r="D700" s="22"/>
    </row>
    <row r="701" spans="4:4" ht="15.75" customHeight="1">
      <c r="D701" s="22"/>
    </row>
    <row r="702" spans="4:4" ht="15.75" customHeight="1">
      <c r="D702" s="22"/>
    </row>
    <row r="703" spans="4:4" ht="15.75" customHeight="1">
      <c r="D703" s="22"/>
    </row>
    <row r="704" spans="4:4" ht="15.75" customHeight="1">
      <c r="D704" s="22"/>
    </row>
    <row r="705" spans="4:4" ht="15.75" customHeight="1">
      <c r="D705" s="22"/>
    </row>
    <row r="706" spans="4:4" ht="15.75" customHeight="1">
      <c r="D706" s="22"/>
    </row>
    <row r="707" spans="4:4" ht="15.75" customHeight="1">
      <c r="D707" s="22"/>
    </row>
    <row r="708" spans="4:4" ht="15.75" customHeight="1">
      <c r="D708" s="22"/>
    </row>
    <row r="709" spans="4:4" ht="15.75" customHeight="1">
      <c r="D709" s="22"/>
    </row>
    <row r="710" spans="4:4" ht="15.75" customHeight="1">
      <c r="D710" s="22"/>
    </row>
    <row r="711" spans="4:4" ht="15.75" customHeight="1">
      <c r="D711" s="22"/>
    </row>
    <row r="712" spans="4:4" ht="15.75" customHeight="1">
      <c r="D712" s="22"/>
    </row>
    <row r="713" spans="4:4" ht="15.75" customHeight="1">
      <c r="D713" s="22"/>
    </row>
    <row r="714" spans="4:4" ht="15.75" customHeight="1">
      <c r="D714" s="22"/>
    </row>
    <row r="715" spans="4:4" ht="15.75" customHeight="1">
      <c r="D715" s="22"/>
    </row>
    <row r="716" spans="4:4" ht="15.75" customHeight="1">
      <c r="D716" s="22"/>
    </row>
    <row r="717" spans="4:4" ht="15.75" customHeight="1">
      <c r="D717" s="22"/>
    </row>
    <row r="718" spans="4:4" ht="15.75" customHeight="1">
      <c r="D718" s="22"/>
    </row>
    <row r="719" spans="4:4" ht="15.75" customHeight="1">
      <c r="D719" s="22"/>
    </row>
    <row r="720" spans="4:4" ht="15.75" customHeight="1">
      <c r="D720" s="22"/>
    </row>
    <row r="721" spans="4:4" ht="15.75" customHeight="1">
      <c r="D721" s="22"/>
    </row>
    <row r="722" spans="4:4" ht="15.75" customHeight="1">
      <c r="D722" s="22"/>
    </row>
    <row r="723" spans="4:4" ht="15.75" customHeight="1">
      <c r="D723" s="22"/>
    </row>
    <row r="724" spans="4:4" ht="15.75" customHeight="1">
      <c r="D724" s="22"/>
    </row>
    <row r="725" spans="4:4" ht="15.75" customHeight="1">
      <c r="D725" s="22"/>
    </row>
    <row r="726" spans="4:4" ht="15.75" customHeight="1">
      <c r="D726" s="22"/>
    </row>
    <row r="727" spans="4:4" ht="15.75" customHeight="1">
      <c r="D727" s="22"/>
    </row>
    <row r="728" spans="4:4" ht="15.75" customHeight="1">
      <c r="D728" s="22"/>
    </row>
    <row r="729" spans="4:4" ht="15.75" customHeight="1">
      <c r="D729" s="22"/>
    </row>
    <row r="730" spans="4:4" ht="15.75" customHeight="1">
      <c r="D730" s="22"/>
    </row>
    <row r="731" spans="4:4" ht="15.75" customHeight="1">
      <c r="D731" s="22"/>
    </row>
    <row r="732" spans="4:4" ht="15.75" customHeight="1">
      <c r="D732" s="22"/>
    </row>
    <row r="733" spans="4:4" ht="15.75" customHeight="1">
      <c r="D733" s="22"/>
    </row>
    <row r="734" spans="4:4" ht="15.75" customHeight="1">
      <c r="D734" s="22"/>
    </row>
    <row r="735" spans="4:4" ht="15.75" customHeight="1">
      <c r="D735" s="22"/>
    </row>
    <row r="736" spans="4:4" ht="15.75" customHeight="1">
      <c r="D736" s="22"/>
    </row>
    <row r="737" spans="4:4" ht="15.75" customHeight="1">
      <c r="D737" s="22"/>
    </row>
    <row r="738" spans="4:4" ht="15.75" customHeight="1">
      <c r="D738" s="22"/>
    </row>
    <row r="739" spans="4:4" ht="15.75" customHeight="1">
      <c r="D739" s="22"/>
    </row>
    <row r="740" spans="4:4" ht="15.75" customHeight="1">
      <c r="D740" s="22"/>
    </row>
    <row r="741" spans="4:4" ht="15.75" customHeight="1">
      <c r="D741" s="22"/>
    </row>
    <row r="742" spans="4:4" ht="15.75" customHeight="1">
      <c r="D742" s="22"/>
    </row>
    <row r="743" spans="4:4" ht="15.75" customHeight="1">
      <c r="D743" s="22"/>
    </row>
    <row r="744" spans="4:4" ht="15.75" customHeight="1">
      <c r="D744" s="22"/>
    </row>
    <row r="745" spans="4:4" ht="15.75" customHeight="1">
      <c r="D745" s="22"/>
    </row>
    <row r="746" spans="4:4" ht="15.75" customHeight="1">
      <c r="D746" s="22"/>
    </row>
    <row r="747" spans="4:4" ht="15.75" customHeight="1">
      <c r="D747" s="22"/>
    </row>
    <row r="748" spans="4:4" ht="15.75" customHeight="1">
      <c r="D748" s="22"/>
    </row>
    <row r="749" spans="4:4" ht="15.75" customHeight="1">
      <c r="D749" s="22"/>
    </row>
    <row r="750" spans="4:4" ht="15.75" customHeight="1">
      <c r="D750" s="22"/>
    </row>
    <row r="751" spans="4:4" ht="15.75" customHeight="1">
      <c r="D751" s="22"/>
    </row>
    <row r="752" spans="4:4" ht="15.75" customHeight="1">
      <c r="D752" s="22"/>
    </row>
    <row r="753" spans="4:4" ht="15.75" customHeight="1">
      <c r="D753" s="22"/>
    </row>
    <row r="754" spans="4:4" ht="15.75" customHeight="1">
      <c r="D754" s="22"/>
    </row>
    <row r="755" spans="4:4" ht="15.75" customHeight="1">
      <c r="D755" s="22"/>
    </row>
    <row r="756" spans="4:4" ht="15.75" customHeight="1">
      <c r="D756" s="22"/>
    </row>
    <row r="757" spans="4:4" ht="15.75" customHeight="1">
      <c r="D757" s="22"/>
    </row>
    <row r="758" spans="4:4" ht="15.75" customHeight="1">
      <c r="D758" s="22"/>
    </row>
    <row r="759" spans="4:4" ht="15.75" customHeight="1">
      <c r="D759" s="22"/>
    </row>
    <row r="760" spans="4:4" ht="15.75" customHeight="1">
      <c r="D760" s="22"/>
    </row>
    <row r="761" spans="4:4" ht="15.75" customHeight="1">
      <c r="D761" s="22"/>
    </row>
    <row r="762" spans="4:4" ht="15.75" customHeight="1">
      <c r="D762" s="22"/>
    </row>
    <row r="763" spans="4:4" ht="15.75" customHeight="1">
      <c r="D763" s="22"/>
    </row>
    <row r="764" spans="4:4" ht="15.75" customHeight="1">
      <c r="D764" s="22"/>
    </row>
    <row r="765" spans="4:4" ht="15.75" customHeight="1">
      <c r="D765" s="22"/>
    </row>
    <row r="766" spans="4:4" ht="15.75" customHeight="1">
      <c r="D766" s="22"/>
    </row>
    <row r="767" spans="4:4" ht="15.75" customHeight="1">
      <c r="D767" s="22"/>
    </row>
    <row r="768" spans="4:4" ht="15.75" customHeight="1">
      <c r="D768" s="22"/>
    </row>
    <row r="769" spans="4:4" ht="15.75" customHeight="1">
      <c r="D769" s="22"/>
    </row>
    <row r="770" spans="4:4" ht="15.75" customHeight="1">
      <c r="D770" s="22"/>
    </row>
    <row r="771" spans="4:4" ht="15.75" customHeight="1">
      <c r="D771" s="22"/>
    </row>
    <row r="772" spans="4:4" ht="15.75" customHeight="1">
      <c r="D772" s="22"/>
    </row>
    <row r="773" spans="4:4" ht="15.75" customHeight="1">
      <c r="D773" s="22"/>
    </row>
    <row r="774" spans="4:4" ht="15.75" customHeight="1">
      <c r="D774" s="22"/>
    </row>
    <row r="775" spans="4:4" ht="15.75" customHeight="1">
      <c r="D775" s="22"/>
    </row>
    <row r="776" spans="4:4" ht="15.75" customHeight="1">
      <c r="D776" s="22"/>
    </row>
    <row r="777" spans="4:4" ht="15.75" customHeight="1">
      <c r="D777" s="22"/>
    </row>
    <row r="778" spans="4:4" ht="15.75" customHeight="1">
      <c r="D778" s="22"/>
    </row>
    <row r="779" spans="4:4" ht="15.75" customHeight="1">
      <c r="D779" s="22"/>
    </row>
    <row r="780" spans="4:4" ht="15.75" customHeight="1">
      <c r="D780" s="22"/>
    </row>
    <row r="781" spans="4:4" ht="15.75" customHeight="1">
      <c r="D781" s="22"/>
    </row>
    <row r="782" spans="4:4" ht="15.75" customHeight="1">
      <c r="D782" s="22"/>
    </row>
    <row r="783" spans="4:4" ht="15.75" customHeight="1">
      <c r="D783" s="22"/>
    </row>
    <row r="784" spans="4:4" ht="15.75" customHeight="1">
      <c r="D784" s="22"/>
    </row>
    <row r="785" spans="4:4" ht="15.75" customHeight="1">
      <c r="D785" s="22"/>
    </row>
    <row r="786" spans="4:4" ht="15.75" customHeight="1">
      <c r="D786" s="22"/>
    </row>
    <row r="787" spans="4:4" ht="15.75" customHeight="1">
      <c r="D787" s="22"/>
    </row>
    <row r="788" spans="4:4" ht="15.75" customHeight="1">
      <c r="D788" s="22"/>
    </row>
    <row r="789" spans="4:4" ht="15.75" customHeight="1">
      <c r="D789" s="22"/>
    </row>
    <row r="790" spans="4:4" ht="15.75" customHeight="1">
      <c r="D790" s="22"/>
    </row>
    <row r="791" spans="4:4" ht="15.75" customHeight="1">
      <c r="D791" s="22"/>
    </row>
    <row r="792" spans="4:4" ht="15.75" customHeight="1">
      <c r="D792" s="22"/>
    </row>
    <row r="793" spans="4:4" ht="15.75" customHeight="1">
      <c r="D793" s="22"/>
    </row>
    <row r="794" spans="4:4" ht="15.75" customHeight="1">
      <c r="D794" s="22"/>
    </row>
    <row r="795" spans="4:4" ht="15.75" customHeight="1">
      <c r="D795" s="22"/>
    </row>
    <row r="796" spans="4:4" ht="15.75" customHeight="1">
      <c r="D796" s="22"/>
    </row>
    <row r="797" spans="4:4" ht="15.75" customHeight="1">
      <c r="D797" s="22"/>
    </row>
    <row r="798" spans="4:4" ht="15.75" customHeight="1">
      <c r="D798" s="22"/>
    </row>
    <row r="799" spans="4:4" ht="15.75" customHeight="1">
      <c r="D799" s="22"/>
    </row>
    <row r="800" spans="4:4" ht="15.75" customHeight="1">
      <c r="D800" s="22"/>
    </row>
    <row r="801" spans="4:4" ht="15.75" customHeight="1">
      <c r="D801" s="22"/>
    </row>
    <row r="802" spans="4:4" ht="15.75" customHeight="1">
      <c r="D802" s="22"/>
    </row>
    <row r="803" spans="4:4" ht="15.75" customHeight="1">
      <c r="D803" s="22"/>
    </row>
    <row r="804" spans="4:4" ht="15.75" customHeight="1">
      <c r="D804" s="22"/>
    </row>
    <row r="805" spans="4:4" ht="15.75" customHeight="1">
      <c r="D805" s="22"/>
    </row>
    <row r="806" spans="4:4" ht="15.75" customHeight="1">
      <c r="D806" s="22"/>
    </row>
    <row r="807" spans="4:4" ht="15.75" customHeight="1">
      <c r="D807" s="22"/>
    </row>
    <row r="808" spans="4:4" ht="15.75" customHeight="1">
      <c r="D808" s="22"/>
    </row>
    <row r="809" spans="4:4" ht="15.75" customHeight="1">
      <c r="D809" s="22"/>
    </row>
    <row r="810" spans="4:4" ht="15.75" customHeight="1">
      <c r="D810" s="22"/>
    </row>
    <row r="811" spans="4:4" ht="15.75" customHeight="1">
      <c r="D811" s="22"/>
    </row>
    <row r="812" spans="4:4" ht="15.75" customHeight="1">
      <c r="D812" s="22"/>
    </row>
    <row r="813" spans="4:4" ht="15.75" customHeight="1">
      <c r="D813" s="22"/>
    </row>
    <row r="814" spans="4:4" ht="15.75" customHeight="1">
      <c r="D814" s="22"/>
    </row>
    <row r="815" spans="4:4" ht="15.75" customHeight="1">
      <c r="D815" s="22"/>
    </row>
    <row r="816" spans="4:4" ht="15.75" customHeight="1">
      <c r="D816" s="22"/>
    </row>
    <row r="817" spans="4:4" ht="15.75" customHeight="1">
      <c r="D817" s="22"/>
    </row>
    <row r="818" spans="4:4" ht="15.75" customHeight="1">
      <c r="D818" s="22"/>
    </row>
    <row r="819" spans="4:4" ht="15.75" customHeight="1">
      <c r="D819" s="22"/>
    </row>
    <row r="820" spans="4:4" ht="15.75" customHeight="1">
      <c r="D820" s="22"/>
    </row>
    <row r="821" spans="4:4" ht="15.75" customHeight="1">
      <c r="D821" s="22"/>
    </row>
    <row r="822" spans="4:4" ht="15.75" customHeight="1">
      <c r="D822" s="22"/>
    </row>
    <row r="823" spans="4:4" ht="15.75" customHeight="1">
      <c r="D823" s="22"/>
    </row>
    <row r="824" spans="4:4" ht="15.75" customHeight="1">
      <c r="D824" s="22"/>
    </row>
    <row r="825" spans="4:4" ht="15.75" customHeight="1">
      <c r="D825" s="22"/>
    </row>
    <row r="826" spans="4:4" ht="15.75" customHeight="1">
      <c r="D826" s="22"/>
    </row>
    <row r="827" spans="4:4" ht="15.75" customHeight="1">
      <c r="D827" s="22"/>
    </row>
    <row r="828" spans="4:4" ht="15.75" customHeight="1">
      <c r="D828" s="22"/>
    </row>
    <row r="829" spans="4:4" ht="15.75" customHeight="1">
      <c r="D829" s="22"/>
    </row>
    <row r="830" spans="4:4" ht="15.75" customHeight="1">
      <c r="D830" s="22"/>
    </row>
    <row r="831" spans="4:4" ht="15.75" customHeight="1">
      <c r="D831" s="22"/>
    </row>
    <row r="832" spans="4:4" ht="15.75" customHeight="1">
      <c r="D832" s="22"/>
    </row>
    <row r="833" spans="4:4" ht="15.75" customHeight="1">
      <c r="D833" s="22"/>
    </row>
    <row r="834" spans="4:4" ht="15.75" customHeight="1">
      <c r="D834" s="22"/>
    </row>
    <row r="835" spans="4:4" ht="15.75" customHeight="1">
      <c r="D835" s="22"/>
    </row>
    <row r="836" spans="4:4" ht="15.75" customHeight="1">
      <c r="D836" s="22"/>
    </row>
    <row r="837" spans="4:4" ht="15.75" customHeight="1">
      <c r="D837" s="22"/>
    </row>
    <row r="838" spans="4:4" ht="15.75" customHeight="1">
      <c r="D838" s="22"/>
    </row>
    <row r="839" spans="4:4" ht="15.75" customHeight="1">
      <c r="D839" s="22"/>
    </row>
    <row r="840" spans="4:4" ht="15.75" customHeight="1">
      <c r="D840" s="22"/>
    </row>
    <row r="841" spans="4:4" ht="15.75" customHeight="1">
      <c r="D841" s="22"/>
    </row>
    <row r="842" spans="4:4" ht="15.75" customHeight="1">
      <c r="D842" s="22"/>
    </row>
    <row r="843" spans="4:4" ht="15.75" customHeight="1">
      <c r="D843" s="22"/>
    </row>
    <row r="844" spans="4:4" ht="15.75" customHeight="1">
      <c r="D844" s="22"/>
    </row>
    <row r="845" spans="4:4" ht="15.75" customHeight="1">
      <c r="D845" s="22"/>
    </row>
    <row r="846" spans="4:4" ht="15.75" customHeight="1">
      <c r="D846" s="22"/>
    </row>
    <row r="847" spans="4:4" ht="15.75" customHeight="1">
      <c r="D847" s="22"/>
    </row>
    <row r="848" spans="4:4" ht="15.75" customHeight="1">
      <c r="D848" s="22"/>
    </row>
    <row r="849" spans="4:4" ht="15.75" customHeight="1">
      <c r="D849" s="22"/>
    </row>
    <row r="850" spans="4:4" ht="15.75" customHeight="1">
      <c r="D850" s="22"/>
    </row>
    <row r="851" spans="4:4" ht="15.75" customHeight="1">
      <c r="D851" s="22"/>
    </row>
    <row r="852" spans="4:4" ht="15.75" customHeight="1">
      <c r="D852" s="22"/>
    </row>
    <row r="853" spans="4:4" ht="15.75" customHeight="1">
      <c r="D853" s="22"/>
    </row>
    <row r="854" spans="4:4" ht="15.75" customHeight="1">
      <c r="D854" s="22"/>
    </row>
    <row r="855" spans="4:4" ht="15.75" customHeight="1">
      <c r="D855" s="22"/>
    </row>
    <row r="856" spans="4:4" ht="15.75" customHeight="1">
      <c r="D856" s="22"/>
    </row>
    <row r="857" spans="4:4" ht="15.75" customHeight="1">
      <c r="D857" s="22"/>
    </row>
    <row r="858" spans="4:4" ht="15.75" customHeight="1">
      <c r="D858" s="22"/>
    </row>
    <row r="859" spans="4:4" ht="15.75" customHeight="1">
      <c r="D859" s="22"/>
    </row>
    <row r="860" spans="4:4" ht="15.75" customHeight="1">
      <c r="D860" s="22"/>
    </row>
    <row r="861" spans="4:4" ht="15.75" customHeight="1">
      <c r="D861" s="22"/>
    </row>
    <row r="862" spans="4:4" ht="15.75" customHeight="1">
      <c r="D862" s="22"/>
    </row>
    <row r="863" spans="4:4" ht="15.75" customHeight="1">
      <c r="D863" s="22"/>
    </row>
    <row r="864" spans="4:4" ht="15.75" customHeight="1">
      <c r="D864" s="22"/>
    </row>
    <row r="865" spans="4:4" ht="15.75" customHeight="1">
      <c r="D865" s="22"/>
    </row>
    <row r="866" spans="4:4" ht="15.75" customHeight="1">
      <c r="D866" s="22"/>
    </row>
    <row r="867" spans="4:4" ht="15.75" customHeight="1">
      <c r="D867" s="22"/>
    </row>
    <row r="868" spans="4:4" ht="15.75" customHeight="1">
      <c r="D868" s="22"/>
    </row>
    <row r="869" spans="4:4" ht="15.75" customHeight="1">
      <c r="D869" s="22"/>
    </row>
    <row r="870" spans="4:4" ht="15.75" customHeight="1">
      <c r="D870" s="22"/>
    </row>
    <row r="871" spans="4:4" ht="15.75" customHeight="1">
      <c r="D871" s="22"/>
    </row>
    <row r="872" spans="4:4" ht="15.75" customHeight="1">
      <c r="D872" s="22"/>
    </row>
    <row r="873" spans="4:4" ht="15.75" customHeight="1">
      <c r="D873" s="22"/>
    </row>
    <row r="874" spans="4:4" ht="15.75" customHeight="1">
      <c r="D874" s="22"/>
    </row>
    <row r="875" spans="4:4" ht="15.75" customHeight="1">
      <c r="D875" s="22"/>
    </row>
    <row r="876" spans="4:4" ht="15.75" customHeight="1">
      <c r="D876" s="22"/>
    </row>
    <row r="877" spans="4:4" ht="15.75" customHeight="1">
      <c r="D877" s="22"/>
    </row>
    <row r="878" spans="4:4" ht="15.75" customHeight="1">
      <c r="D878" s="22"/>
    </row>
    <row r="879" spans="4:4" ht="15.75" customHeight="1">
      <c r="D879" s="22"/>
    </row>
    <row r="880" spans="4:4" ht="15.75" customHeight="1">
      <c r="D880" s="22"/>
    </row>
    <row r="881" spans="4:4" ht="15.75" customHeight="1">
      <c r="D881" s="22"/>
    </row>
    <row r="882" spans="4:4" ht="15.75" customHeight="1">
      <c r="D882" s="22"/>
    </row>
    <row r="883" spans="4:4" ht="15.75" customHeight="1">
      <c r="D883" s="22"/>
    </row>
    <row r="884" spans="4:4" ht="15.75" customHeight="1">
      <c r="D884" s="22"/>
    </row>
    <row r="885" spans="4:4" ht="15.75" customHeight="1">
      <c r="D885" s="22"/>
    </row>
    <row r="886" spans="4:4" ht="15.75" customHeight="1">
      <c r="D886" s="22"/>
    </row>
    <row r="887" spans="4:4" ht="15.75" customHeight="1">
      <c r="D887" s="22"/>
    </row>
    <row r="888" spans="4:4" ht="15.75" customHeight="1">
      <c r="D888" s="22"/>
    </row>
    <row r="889" spans="4:4" ht="15.75" customHeight="1">
      <c r="D889" s="22"/>
    </row>
    <row r="890" spans="4:4" ht="15.75" customHeight="1">
      <c r="D890" s="22"/>
    </row>
    <row r="891" spans="4:4" ht="15.75" customHeight="1">
      <c r="D891" s="22"/>
    </row>
    <row r="892" spans="4:4" ht="15.75" customHeight="1">
      <c r="D892" s="22"/>
    </row>
    <row r="893" spans="4:4" ht="15.75" customHeight="1">
      <c r="D893" s="22"/>
    </row>
    <row r="894" spans="4:4" ht="15.75" customHeight="1">
      <c r="D894" s="22"/>
    </row>
    <row r="895" spans="4:4" ht="15.75" customHeight="1">
      <c r="D895" s="22"/>
    </row>
    <row r="896" spans="4:4" ht="15.75" customHeight="1">
      <c r="D896" s="22"/>
    </row>
    <row r="897" spans="4:4" ht="15.75" customHeight="1">
      <c r="D897" s="22"/>
    </row>
    <row r="898" spans="4:4" ht="15.75" customHeight="1">
      <c r="D898" s="22"/>
    </row>
    <row r="899" spans="4:4" ht="15.75" customHeight="1">
      <c r="D899" s="22"/>
    </row>
    <row r="900" spans="4:4" ht="15.75" customHeight="1">
      <c r="D900" s="22"/>
    </row>
    <row r="901" spans="4:4" ht="15.75" customHeight="1">
      <c r="D901" s="22"/>
    </row>
    <row r="902" spans="4:4" ht="15.75" customHeight="1">
      <c r="D902" s="22"/>
    </row>
    <row r="903" spans="4:4" ht="15.75" customHeight="1">
      <c r="D903" s="22"/>
    </row>
    <row r="904" spans="4:4" ht="15.75" customHeight="1">
      <c r="D904" s="22"/>
    </row>
    <row r="905" spans="4:4" ht="15.75" customHeight="1">
      <c r="D905" s="22"/>
    </row>
    <row r="906" spans="4:4" ht="15.75" customHeight="1">
      <c r="D906" s="22"/>
    </row>
    <row r="907" spans="4:4" ht="15.75" customHeight="1">
      <c r="D907" s="22"/>
    </row>
    <row r="908" spans="4:4" ht="15.75" customHeight="1">
      <c r="D908" s="22"/>
    </row>
    <row r="909" spans="4:4" ht="15.75" customHeight="1">
      <c r="D909" s="22"/>
    </row>
    <row r="910" spans="4:4" ht="15.75" customHeight="1">
      <c r="D910" s="22"/>
    </row>
    <row r="911" spans="4:4" ht="15.75" customHeight="1">
      <c r="D911" s="22"/>
    </row>
    <row r="912" spans="4:4" ht="15.75" customHeight="1">
      <c r="D912" s="22"/>
    </row>
    <row r="913" spans="4:4" ht="15.75" customHeight="1">
      <c r="D913" s="22"/>
    </row>
    <row r="914" spans="4:4" ht="15.75" customHeight="1">
      <c r="D914" s="22"/>
    </row>
    <row r="915" spans="4:4" ht="15.75" customHeight="1">
      <c r="D915" s="22"/>
    </row>
    <row r="916" spans="4:4" ht="15.75" customHeight="1">
      <c r="D916" s="22"/>
    </row>
    <row r="917" spans="4:4" ht="15.75" customHeight="1">
      <c r="D917" s="22"/>
    </row>
    <row r="918" spans="4:4" ht="15.75" customHeight="1">
      <c r="D918" s="22"/>
    </row>
    <row r="919" spans="4:4" ht="15.75" customHeight="1">
      <c r="D919" s="22"/>
    </row>
    <row r="920" spans="4:4" ht="15.75" customHeight="1">
      <c r="D920" s="22"/>
    </row>
    <row r="921" spans="4:4" ht="15.75" customHeight="1">
      <c r="D921" s="22"/>
    </row>
    <row r="922" spans="4:4" ht="15.75" customHeight="1">
      <c r="D922" s="22"/>
    </row>
    <row r="923" spans="4:4" ht="15.75" customHeight="1">
      <c r="D923" s="22"/>
    </row>
    <row r="924" spans="4:4" ht="15.75" customHeight="1">
      <c r="D924" s="22"/>
    </row>
    <row r="925" spans="4:4" ht="15.75" customHeight="1">
      <c r="D925" s="22"/>
    </row>
    <row r="926" spans="4:4" ht="15.75" customHeight="1">
      <c r="D926" s="22"/>
    </row>
    <row r="927" spans="4:4" ht="15.75" customHeight="1">
      <c r="D927" s="22"/>
    </row>
    <row r="928" spans="4:4" ht="15.75" customHeight="1">
      <c r="D928" s="22"/>
    </row>
    <row r="929" spans="4:4" ht="15.75" customHeight="1">
      <c r="D929" s="22"/>
    </row>
    <row r="930" spans="4:4" ht="15.75" customHeight="1">
      <c r="D930" s="22"/>
    </row>
    <row r="931" spans="4:4" ht="15.75" customHeight="1">
      <c r="D931" s="22"/>
    </row>
    <row r="932" spans="4:4" ht="15.75" customHeight="1">
      <c r="D932" s="22"/>
    </row>
    <row r="933" spans="4:4" ht="15.75" customHeight="1">
      <c r="D933" s="22"/>
    </row>
    <row r="934" spans="4:4" ht="15.75" customHeight="1">
      <c r="D934" s="22"/>
    </row>
    <row r="935" spans="4:4" ht="15.75" customHeight="1">
      <c r="D935" s="22"/>
    </row>
    <row r="936" spans="4:4" ht="15.75" customHeight="1">
      <c r="D936" s="22"/>
    </row>
    <row r="937" spans="4:4" ht="15.75" customHeight="1">
      <c r="D937" s="22"/>
    </row>
    <row r="938" spans="4:4" ht="15.75" customHeight="1">
      <c r="D938" s="22"/>
    </row>
    <row r="939" spans="4:4" ht="15.75" customHeight="1">
      <c r="D939" s="22"/>
    </row>
    <row r="940" spans="4:4" ht="15.75" customHeight="1">
      <c r="D940" s="22"/>
    </row>
    <row r="941" spans="4:4" ht="15.75" customHeight="1">
      <c r="D941" s="22"/>
    </row>
    <row r="942" spans="4:4" ht="15.75" customHeight="1">
      <c r="D942" s="22"/>
    </row>
    <row r="943" spans="4:4" ht="15.75" customHeight="1">
      <c r="D943" s="22"/>
    </row>
    <row r="944" spans="4:4" ht="15.75" customHeight="1">
      <c r="D944" s="22"/>
    </row>
    <row r="945" spans="4:4" ht="15.75" customHeight="1">
      <c r="D945" s="22"/>
    </row>
    <row r="946" spans="4:4" ht="15.75" customHeight="1">
      <c r="D946" s="22"/>
    </row>
    <row r="947" spans="4:4" ht="15.75" customHeight="1">
      <c r="D947" s="22"/>
    </row>
    <row r="948" spans="4:4" ht="15.75" customHeight="1">
      <c r="D948" s="22"/>
    </row>
    <row r="949" spans="4:4" ht="15.75" customHeight="1">
      <c r="D949" s="22"/>
    </row>
    <row r="950" spans="4:4" ht="15.75" customHeight="1">
      <c r="D950" s="22"/>
    </row>
    <row r="951" spans="4:4" ht="15.75" customHeight="1">
      <c r="D951" s="22"/>
    </row>
    <row r="952" spans="4:4" ht="15.75" customHeight="1">
      <c r="D952" s="22"/>
    </row>
    <row r="953" spans="4:4" ht="15.75" customHeight="1">
      <c r="D953" s="22"/>
    </row>
    <row r="954" spans="4:4" ht="15.75" customHeight="1">
      <c r="D954" s="22"/>
    </row>
    <row r="955" spans="4:4" ht="15.75" customHeight="1">
      <c r="D955" s="22"/>
    </row>
    <row r="956" spans="4:4" ht="15.75" customHeight="1">
      <c r="D956" s="22"/>
    </row>
    <row r="957" spans="4:4" ht="15.75" customHeight="1">
      <c r="D957" s="22"/>
    </row>
    <row r="958" spans="4:4" ht="15.75" customHeight="1">
      <c r="D958" s="22"/>
    </row>
    <row r="959" spans="4:4" ht="15.75" customHeight="1">
      <c r="D959" s="22"/>
    </row>
    <row r="960" spans="4:4" ht="15.75" customHeight="1">
      <c r="D960" s="22"/>
    </row>
    <row r="961" spans="4:4" ht="15.75" customHeight="1">
      <c r="D961" s="22"/>
    </row>
    <row r="962" spans="4:4" ht="15.75" customHeight="1">
      <c r="D962" s="22"/>
    </row>
    <row r="963" spans="4:4" ht="15.75" customHeight="1">
      <c r="D963" s="22"/>
    </row>
    <row r="964" spans="4:4" ht="15.75" customHeight="1">
      <c r="D964" s="22"/>
    </row>
    <row r="965" spans="4:4" ht="15.75" customHeight="1">
      <c r="D965" s="22"/>
    </row>
    <row r="966" spans="4:4" ht="15.75" customHeight="1">
      <c r="D966" s="22"/>
    </row>
    <row r="967" spans="4:4" ht="15.75" customHeight="1">
      <c r="D967" s="22"/>
    </row>
    <row r="968" spans="4:4" ht="15.75" customHeight="1">
      <c r="D968" s="22"/>
    </row>
    <row r="969" spans="4:4" ht="15.75" customHeight="1">
      <c r="D969" s="22"/>
    </row>
    <row r="970" spans="4:4" ht="15.75" customHeight="1">
      <c r="D970" s="22"/>
    </row>
    <row r="971" spans="4:4" ht="15.75" customHeight="1">
      <c r="D971" s="22"/>
    </row>
    <row r="972" spans="4:4" ht="15.75" customHeight="1">
      <c r="D972" s="22"/>
    </row>
    <row r="973" spans="4:4" ht="15.75" customHeight="1">
      <c r="D973" s="22"/>
    </row>
    <row r="974" spans="4:4" ht="15.75" customHeight="1">
      <c r="D974" s="22"/>
    </row>
    <row r="975" spans="4:4" ht="15.75" customHeight="1">
      <c r="D975" s="22"/>
    </row>
    <row r="976" spans="4:4" ht="15.75" customHeight="1">
      <c r="D976" s="22"/>
    </row>
    <row r="977" spans="4:4" ht="15.75" customHeight="1">
      <c r="D977" s="22"/>
    </row>
    <row r="978" spans="4:4" ht="15.75" customHeight="1">
      <c r="D978" s="22"/>
    </row>
    <row r="979" spans="4:4" ht="15.75" customHeight="1">
      <c r="D979" s="22"/>
    </row>
    <row r="980" spans="4:4" ht="15.75" customHeight="1">
      <c r="D980" s="22"/>
    </row>
    <row r="981" spans="4:4" ht="15.75" customHeight="1">
      <c r="D981" s="22"/>
    </row>
    <row r="982" spans="4:4" ht="15.75" customHeight="1">
      <c r="D982" s="22"/>
    </row>
    <row r="983" spans="4:4" ht="15.75" customHeight="1">
      <c r="D983" s="22"/>
    </row>
    <row r="984" spans="4:4" ht="15.75" customHeight="1">
      <c r="D984" s="22"/>
    </row>
    <row r="985" spans="4:4" ht="15.75" customHeight="1">
      <c r="D985" s="22"/>
    </row>
    <row r="986" spans="4:4" ht="15.75" customHeight="1">
      <c r="D986" s="22"/>
    </row>
    <row r="987" spans="4:4" ht="15.75" customHeight="1">
      <c r="D987" s="22"/>
    </row>
    <row r="988" spans="4:4" ht="15.75" customHeight="1">
      <c r="D988" s="22"/>
    </row>
    <row r="989" spans="4:4" ht="15.75" customHeight="1">
      <c r="D989" s="22"/>
    </row>
    <row r="990" spans="4:4" ht="15.75" customHeight="1">
      <c r="D990" s="22"/>
    </row>
    <row r="991" spans="4:4" ht="15.75" customHeight="1">
      <c r="D991" s="22"/>
    </row>
    <row r="992" spans="4:4" ht="15.75" customHeight="1">
      <c r="D992" s="22"/>
    </row>
    <row r="993" spans="4:4" ht="15.75" customHeight="1">
      <c r="D993" s="22"/>
    </row>
    <row r="994" spans="4:4" ht="15.75" customHeight="1">
      <c r="D994" s="22"/>
    </row>
    <row r="995" spans="4:4" ht="15.75" customHeight="1">
      <c r="D995" s="22"/>
    </row>
    <row r="996" spans="4:4" ht="15.75" customHeight="1">
      <c r="D996" s="22"/>
    </row>
    <row r="997" spans="4:4" ht="15.75" customHeight="1">
      <c r="D997" s="22"/>
    </row>
    <row r="998" spans="4:4" ht="15.75" customHeight="1">
      <c r="D998" s="22"/>
    </row>
    <row r="999" spans="4:4" ht="15.75" customHeight="1">
      <c r="D999" s="22"/>
    </row>
    <row r="1000" spans="4:4" ht="15.75" customHeight="1">
      <c r="D1000" s="22"/>
    </row>
  </sheetData>
  <mergeCells count="72">
    <mergeCell ref="E10:E11"/>
    <mergeCell ref="F10:F11"/>
    <mergeCell ref="B12:B13"/>
    <mergeCell ref="C12:C13"/>
    <mergeCell ref="D12:D13"/>
    <mergeCell ref="E12:E13"/>
    <mergeCell ref="F12:F13"/>
    <mergeCell ref="B23:C24"/>
    <mergeCell ref="D23:D24"/>
    <mergeCell ref="B25:C26"/>
    <mergeCell ref="D25:D26"/>
    <mergeCell ref="D21:D22"/>
    <mergeCell ref="B14:E14"/>
    <mergeCell ref="B16:C16"/>
    <mergeCell ref="E16:F16"/>
    <mergeCell ref="D17:D18"/>
    <mergeCell ref="E17:F20"/>
    <mergeCell ref="D19:D20"/>
    <mergeCell ref="B17:C18"/>
    <mergeCell ref="E21:F26"/>
    <mergeCell ref="H21:I22"/>
    <mergeCell ref="H23:I24"/>
    <mergeCell ref="J23:J24"/>
    <mergeCell ref="H25:I26"/>
    <mergeCell ref="J25:J26"/>
    <mergeCell ref="J21:J22"/>
    <mergeCell ref="H17:I18"/>
    <mergeCell ref="J17:J18"/>
    <mergeCell ref="K17:L20"/>
    <mergeCell ref="H19:I20"/>
    <mergeCell ref="J19:J20"/>
    <mergeCell ref="K21:L26"/>
    <mergeCell ref="B3:I3"/>
    <mergeCell ref="J3:P3"/>
    <mergeCell ref="B6:C6"/>
    <mergeCell ref="D6:E6"/>
    <mergeCell ref="H6:I6"/>
    <mergeCell ref="J6:K6"/>
    <mergeCell ref="B8:F8"/>
    <mergeCell ref="B10:B11"/>
    <mergeCell ref="C10:C11"/>
    <mergeCell ref="D10:D11"/>
    <mergeCell ref="H14:K14"/>
    <mergeCell ref="H16:I16"/>
    <mergeCell ref="K16:L16"/>
    <mergeCell ref="B19:C20"/>
    <mergeCell ref="B21:C22"/>
    <mergeCell ref="Q6:R6"/>
    <mergeCell ref="J10:J11"/>
    <mergeCell ref="K10:K11"/>
    <mergeCell ref="J12:J13"/>
    <mergeCell ref="K12:K13"/>
    <mergeCell ref="L12:L13"/>
    <mergeCell ref="H8:L8"/>
    <mergeCell ref="N8:P8"/>
    <mergeCell ref="L10:L11"/>
    <mergeCell ref="P10:P11"/>
    <mergeCell ref="H10:H11"/>
    <mergeCell ref="I10:I11"/>
    <mergeCell ref="H12:H13"/>
    <mergeCell ref="I12:I13"/>
    <mergeCell ref="N19:P20"/>
    <mergeCell ref="N21:P22"/>
    <mergeCell ref="N23:P24"/>
    <mergeCell ref="N25:P26"/>
    <mergeCell ref="N9:O9"/>
    <mergeCell ref="N10:O11"/>
    <mergeCell ref="N12:O13"/>
    <mergeCell ref="P12:P13"/>
    <mergeCell ref="N14:O14"/>
    <mergeCell ref="N16:P16"/>
    <mergeCell ref="N17:P18"/>
  </mergeCells>
  <printOptions horizontalCentered="1"/>
  <pageMargins left="0.25" right="0.25" top="0.75" bottom="0.75" header="0" footer="0"/>
  <pageSetup fitToHeight="0" pageOrder="overThenDown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B1:AL998"/>
  <sheetViews>
    <sheetView workbookViewId="0"/>
  </sheetViews>
  <sheetFormatPr defaultColWidth="12.5703125" defaultRowHeight="15" customHeight="1"/>
  <cols>
    <col min="1" max="1" width="12.5703125" customWidth="1"/>
    <col min="2" max="2" width="10.85546875" customWidth="1"/>
    <col min="3" max="3" width="33.140625" customWidth="1"/>
    <col min="4" max="6" width="25.85546875" customWidth="1"/>
    <col min="7" max="7" width="5.85546875" customWidth="1"/>
    <col min="8" max="8" width="10.85546875" customWidth="1"/>
    <col min="9" max="9" width="39.5703125" customWidth="1"/>
    <col min="10" max="10" width="28.28515625" customWidth="1"/>
    <col min="11" max="11" width="26.5703125" customWidth="1"/>
    <col min="12" max="13" width="25.85546875" customWidth="1"/>
    <col min="14" max="15" width="27.5703125" customWidth="1"/>
    <col min="16" max="17" width="25.85546875" customWidth="1"/>
    <col min="18" max="18" width="5.85546875" customWidth="1"/>
    <col min="19" max="23" width="25.85546875" customWidth="1"/>
    <col min="24" max="24" width="5.85546875" customWidth="1"/>
    <col min="25" max="27" width="25.85546875" customWidth="1"/>
  </cols>
  <sheetData>
    <row r="1" spans="2:38" ht="15.7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5.7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ht="54" customHeight="1">
      <c r="B3" s="177" t="s">
        <v>0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223" t="s">
        <v>41</v>
      </c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ht="1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2:38" ht="31.5" customHeight="1">
      <c r="B6" s="180" t="s">
        <v>2</v>
      </c>
      <c r="C6" s="181"/>
      <c r="D6" s="224" t="s">
        <v>46</v>
      </c>
      <c r="E6" s="144"/>
      <c r="F6" s="3"/>
      <c r="G6" s="3"/>
      <c r="H6" s="180" t="s">
        <v>47</v>
      </c>
      <c r="I6" s="181"/>
      <c r="J6" s="25"/>
      <c r="K6" s="225" t="s">
        <v>48</v>
      </c>
      <c r="L6" s="144"/>
      <c r="M6" s="26"/>
      <c r="N6" s="26"/>
      <c r="O6" s="26"/>
      <c r="P6" s="27"/>
      <c r="Q6" s="3"/>
      <c r="R6" s="3"/>
      <c r="S6" s="180" t="s">
        <v>3</v>
      </c>
      <c r="T6" s="181"/>
      <c r="U6" s="183" t="s">
        <v>49</v>
      </c>
      <c r="V6" s="144"/>
      <c r="W6" s="3"/>
      <c r="X6" s="3"/>
      <c r="Y6" s="3"/>
      <c r="Z6" s="4" t="s">
        <v>5</v>
      </c>
      <c r="AA6" s="5">
        <f ca="1">TODAY()</f>
        <v>45989</v>
      </c>
      <c r="AB6" s="184"/>
      <c r="AC6" s="178"/>
      <c r="AD6" s="1"/>
      <c r="AE6" s="1"/>
      <c r="AF6" s="1"/>
      <c r="AG6" s="1"/>
      <c r="AH6" s="1"/>
      <c r="AI6" s="1"/>
      <c r="AJ6" s="1"/>
      <c r="AK6" s="1"/>
      <c r="AL6" s="1"/>
    </row>
    <row r="7" spans="2:38" ht="31.5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2:38" ht="31.5" customHeight="1">
      <c r="B8" s="218" t="s">
        <v>6</v>
      </c>
      <c r="C8" s="146"/>
      <c r="D8" s="146"/>
      <c r="E8" s="146"/>
      <c r="F8" s="144"/>
      <c r="G8" s="6"/>
      <c r="H8" s="143" t="s">
        <v>50</v>
      </c>
      <c r="I8" s="146"/>
      <c r="J8" s="146"/>
      <c r="K8" s="146"/>
      <c r="L8" s="146"/>
      <c r="M8" s="146"/>
      <c r="N8" s="146"/>
      <c r="O8" s="146"/>
      <c r="P8" s="146"/>
      <c r="Q8" s="144"/>
      <c r="R8" s="6"/>
      <c r="S8" s="220" t="s">
        <v>7</v>
      </c>
      <c r="T8" s="146"/>
      <c r="U8" s="146"/>
      <c r="V8" s="146"/>
      <c r="W8" s="144"/>
      <c r="X8" s="6"/>
      <c r="Y8" s="145" t="s">
        <v>8</v>
      </c>
      <c r="Z8" s="146"/>
      <c r="AA8" s="144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2:38" ht="31.5" customHeight="1">
      <c r="B9" s="7" t="s">
        <v>9</v>
      </c>
      <c r="C9" s="8" t="s">
        <v>10</v>
      </c>
      <c r="D9" s="9" t="s">
        <v>11</v>
      </c>
      <c r="E9" s="9" t="s">
        <v>12</v>
      </c>
      <c r="F9" s="9" t="s">
        <v>13</v>
      </c>
      <c r="G9" s="10"/>
      <c r="H9" s="7" t="s">
        <v>9</v>
      </c>
      <c r="I9" s="8" t="s">
        <v>10</v>
      </c>
      <c r="J9" s="9" t="s">
        <v>51</v>
      </c>
      <c r="K9" s="9" t="s">
        <v>52</v>
      </c>
      <c r="L9" s="9" t="s">
        <v>53</v>
      </c>
      <c r="M9" s="9" t="s">
        <v>54</v>
      </c>
      <c r="N9" s="9" t="s">
        <v>55</v>
      </c>
      <c r="O9" s="9" t="s">
        <v>56</v>
      </c>
      <c r="P9" s="9" t="s">
        <v>12</v>
      </c>
      <c r="Q9" s="9" t="s">
        <v>13</v>
      </c>
      <c r="R9" s="10"/>
      <c r="S9" s="9" t="s">
        <v>57</v>
      </c>
      <c r="T9" s="9" t="s">
        <v>15</v>
      </c>
      <c r="U9" s="9" t="s">
        <v>16</v>
      </c>
      <c r="V9" s="9" t="s">
        <v>17</v>
      </c>
      <c r="W9" s="9" t="s">
        <v>13</v>
      </c>
      <c r="X9" s="10"/>
      <c r="Y9" s="221"/>
      <c r="Z9" s="144"/>
      <c r="AA9" s="11" t="s">
        <v>13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2:38" ht="31.5" customHeight="1">
      <c r="B10" s="169">
        <v>1</v>
      </c>
      <c r="C10" s="163" t="s">
        <v>18</v>
      </c>
      <c r="D10" s="164">
        <v>2790</v>
      </c>
      <c r="E10" s="165">
        <v>1</v>
      </c>
      <c r="F10" s="164">
        <f>(D10*E10)+D10</f>
        <v>5580</v>
      </c>
      <c r="G10" s="28"/>
      <c r="H10" s="169">
        <v>4</v>
      </c>
      <c r="I10" s="163" t="s">
        <v>18</v>
      </c>
      <c r="J10" s="164">
        <v>190</v>
      </c>
      <c r="K10" s="164">
        <v>190</v>
      </c>
      <c r="L10" s="164">
        <v>190</v>
      </c>
      <c r="M10" s="164">
        <v>450</v>
      </c>
      <c r="N10" s="164" t="s">
        <v>58</v>
      </c>
      <c r="O10" s="164">
        <v>450</v>
      </c>
      <c r="P10" s="165">
        <v>0.5</v>
      </c>
      <c r="Q10" s="164">
        <v>1850</v>
      </c>
      <c r="R10" s="12"/>
      <c r="S10" s="164">
        <v>380</v>
      </c>
      <c r="T10" s="164"/>
      <c r="U10" s="164">
        <v>1330</v>
      </c>
      <c r="V10" s="164"/>
      <c r="W10" s="164">
        <f>SUM(S10:V10)</f>
        <v>1710</v>
      </c>
      <c r="X10" s="12"/>
      <c r="Y10" s="176" t="s">
        <v>19</v>
      </c>
      <c r="Z10" s="128"/>
      <c r="AA10" s="219">
        <f>F16</f>
        <v>5580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2:38" ht="31.5" customHeight="1">
      <c r="B11" s="148"/>
      <c r="C11" s="148"/>
      <c r="D11" s="148"/>
      <c r="E11" s="148"/>
      <c r="F11" s="148"/>
      <c r="G11" s="2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2"/>
      <c r="S11" s="148"/>
      <c r="T11" s="148"/>
      <c r="U11" s="148"/>
      <c r="V11" s="148"/>
      <c r="W11" s="148"/>
      <c r="X11" s="12"/>
      <c r="Y11" s="129"/>
      <c r="Z11" s="130"/>
      <c r="AA11" s="148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2:38" ht="31.5" customHeight="1">
      <c r="B12" s="171">
        <v>2</v>
      </c>
      <c r="C12" s="171"/>
      <c r="D12" s="172"/>
      <c r="E12" s="152"/>
      <c r="F12" s="172"/>
      <c r="G12" s="28"/>
      <c r="H12" s="171">
        <v>5</v>
      </c>
      <c r="I12" s="171" t="s">
        <v>20</v>
      </c>
      <c r="J12" s="222">
        <v>190</v>
      </c>
      <c r="K12" s="222">
        <f>190*2</f>
        <v>380</v>
      </c>
      <c r="L12" s="172">
        <v>190</v>
      </c>
      <c r="M12" s="172">
        <v>450</v>
      </c>
      <c r="N12" s="172" t="s">
        <v>58</v>
      </c>
      <c r="O12" s="172">
        <v>450</v>
      </c>
      <c r="P12" s="173"/>
      <c r="Q12" s="164">
        <f>SUM(J12+K12+L12+M12+O12)</f>
        <v>1660</v>
      </c>
      <c r="R12" s="12"/>
      <c r="S12" s="152"/>
      <c r="T12" s="172">
        <v>1330</v>
      </c>
      <c r="U12" s="172"/>
      <c r="V12" s="152"/>
      <c r="W12" s="172">
        <f>SUM(S12:V12)</f>
        <v>1330</v>
      </c>
      <c r="X12" s="12"/>
      <c r="Y12" s="211" t="s">
        <v>59</v>
      </c>
      <c r="Z12" s="128"/>
      <c r="AA12" s="170">
        <f>Q16</f>
        <v>3510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2:38" ht="31.5" customHeight="1">
      <c r="B13" s="148"/>
      <c r="C13" s="148"/>
      <c r="D13" s="148"/>
      <c r="E13" s="148"/>
      <c r="F13" s="148"/>
      <c r="G13" s="2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2"/>
      <c r="S13" s="148"/>
      <c r="T13" s="148"/>
      <c r="U13" s="148"/>
      <c r="V13" s="148"/>
      <c r="W13" s="148"/>
      <c r="X13" s="12"/>
      <c r="Y13" s="129"/>
      <c r="Z13" s="130"/>
      <c r="AA13" s="148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2:38" ht="31.5" customHeight="1">
      <c r="B14" s="171">
        <v>3</v>
      </c>
      <c r="C14" s="171"/>
      <c r="D14" s="172"/>
      <c r="E14" s="152"/>
      <c r="F14" s="172"/>
      <c r="G14" s="28"/>
      <c r="H14" s="163">
        <v>6</v>
      </c>
      <c r="I14" s="163"/>
      <c r="J14" s="215"/>
      <c r="K14" s="215"/>
      <c r="L14" s="164"/>
      <c r="M14" s="164"/>
      <c r="N14" s="164"/>
      <c r="O14" s="164"/>
      <c r="P14" s="165"/>
      <c r="Q14" s="164"/>
      <c r="R14" s="12"/>
      <c r="S14" s="155"/>
      <c r="T14" s="155"/>
      <c r="U14" s="164"/>
      <c r="V14" s="155"/>
      <c r="W14" s="164">
        <f>SUM(S14:V14)</f>
        <v>0</v>
      </c>
      <c r="X14" s="12"/>
      <c r="Y14" s="211" t="s">
        <v>21</v>
      </c>
      <c r="Z14" s="128"/>
      <c r="AA14" s="167">
        <f>W16</f>
        <v>3040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2:38" ht="31.5" customHeight="1">
      <c r="B15" s="148"/>
      <c r="C15" s="148"/>
      <c r="D15" s="148"/>
      <c r="E15" s="148"/>
      <c r="F15" s="148"/>
      <c r="G15" s="2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2"/>
      <c r="S15" s="148"/>
      <c r="T15" s="148"/>
      <c r="U15" s="148"/>
      <c r="V15" s="148"/>
      <c r="W15" s="148"/>
      <c r="X15" s="12"/>
      <c r="Y15" s="129"/>
      <c r="Z15" s="130"/>
      <c r="AA15" s="148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2:38" ht="31.5" customHeight="1">
      <c r="B16" s="216" t="s">
        <v>19</v>
      </c>
      <c r="C16" s="146"/>
      <c r="D16" s="146"/>
      <c r="E16" s="144"/>
      <c r="F16" s="29">
        <f>SUM(F10:F13)</f>
        <v>5580</v>
      </c>
      <c r="G16" s="13"/>
      <c r="H16" s="216" t="s">
        <v>59</v>
      </c>
      <c r="I16" s="146"/>
      <c r="J16" s="146"/>
      <c r="K16" s="146"/>
      <c r="L16" s="146"/>
      <c r="M16" s="146"/>
      <c r="N16" s="146"/>
      <c r="O16" s="146"/>
      <c r="P16" s="144"/>
      <c r="Q16" s="14">
        <f>SUM(Q10:Q13)</f>
        <v>3510</v>
      </c>
      <c r="R16" s="13"/>
      <c r="S16" s="207" t="s">
        <v>21</v>
      </c>
      <c r="T16" s="146"/>
      <c r="U16" s="146"/>
      <c r="V16" s="144"/>
      <c r="W16" s="30">
        <f>SUM(W10:W13)</f>
        <v>3040</v>
      </c>
      <c r="X16" s="13"/>
      <c r="Y16" s="168" t="s">
        <v>25</v>
      </c>
      <c r="Z16" s="144"/>
      <c r="AA16" s="16">
        <f>SUM(AA10:AA15)</f>
        <v>12130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2:38" ht="31.5" customHeight="1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2:38" ht="31.5" customHeight="1">
      <c r="B18" s="218" t="s">
        <v>26</v>
      </c>
      <c r="C18" s="144"/>
      <c r="D18" s="31" t="s">
        <v>9</v>
      </c>
      <c r="E18" s="218" t="s">
        <v>27</v>
      </c>
      <c r="F18" s="144"/>
      <c r="G18" s="6"/>
      <c r="H18" s="143" t="s">
        <v>26</v>
      </c>
      <c r="I18" s="146"/>
      <c r="J18" s="146"/>
      <c r="K18" s="144"/>
      <c r="L18" s="32" t="s">
        <v>9</v>
      </c>
      <c r="M18" s="143" t="s">
        <v>27</v>
      </c>
      <c r="N18" s="146"/>
      <c r="O18" s="146"/>
      <c r="P18" s="146"/>
      <c r="Q18" s="144"/>
      <c r="R18" s="6"/>
      <c r="S18" s="157" t="s">
        <v>26</v>
      </c>
      <c r="T18" s="144"/>
      <c r="U18" s="24" t="s">
        <v>9</v>
      </c>
      <c r="V18" s="157" t="s">
        <v>27</v>
      </c>
      <c r="W18" s="144"/>
      <c r="X18" s="6"/>
      <c r="Y18" s="180" t="s">
        <v>28</v>
      </c>
      <c r="Z18" s="146"/>
      <c r="AA18" s="144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2:38" ht="31.5" customHeight="1">
      <c r="B19" s="212" t="s">
        <v>29</v>
      </c>
      <c r="C19" s="128"/>
      <c r="D19" s="213">
        <v>1</v>
      </c>
      <c r="E19" s="149" t="s">
        <v>30</v>
      </c>
      <c r="F19" s="128"/>
      <c r="G19" s="1"/>
      <c r="H19" s="212" t="s">
        <v>60</v>
      </c>
      <c r="I19" s="140"/>
      <c r="J19" s="140"/>
      <c r="K19" s="128"/>
      <c r="L19" s="213">
        <v>2</v>
      </c>
      <c r="M19" s="217" t="s">
        <v>61</v>
      </c>
      <c r="N19" s="140"/>
      <c r="O19" s="140"/>
      <c r="P19" s="140"/>
      <c r="Q19" s="128"/>
      <c r="R19" s="19"/>
      <c r="S19" s="156" t="s">
        <v>62</v>
      </c>
      <c r="T19" s="128"/>
      <c r="U19" s="171">
        <f>COUNT(S10:S13)</f>
        <v>1</v>
      </c>
      <c r="V19" s="149" t="s">
        <v>63</v>
      </c>
      <c r="W19" s="128"/>
      <c r="X19" s="19"/>
      <c r="Y19" s="208" t="s">
        <v>64</v>
      </c>
      <c r="Z19" s="140"/>
      <c r="AA19" s="128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ht="31.5" customHeight="1">
      <c r="B20" s="129"/>
      <c r="C20" s="130"/>
      <c r="D20" s="148"/>
      <c r="E20" s="150"/>
      <c r="F20" s="151"/>
      <c r="G20" s="1"/>
      <c r="H20" s="129"/>
      <c r="I20" s="141"/>
      <c r="J20" s="141"/>
      <c r="K20" s="130"/>
      <c r="L20" s="148"/>
      <c r="M20" s="150"/>
      <c r="N20" s="178"/>
      <c r="O20" s="178"/>
      <c r="P20" s="178"/>
      <c r="Q20" s="151"/>
      <c r="R20" s="19"/>
      <c r="S20" s="129"/>
      <c r="T20" s="130"/>
      <c r="U20" s="148"/>
      <c r="V20" s="150"/>
      <c r="W20" s="151"/>
      <c r="X20" s="19"/>
      <c r="Y20" s="129"/>
      <c r="Z20" s="141"/>
      <c r="AA20" s="130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ht="31.5" customHeight="1">
      <c r="B21" s="210" t="s">
        <v>34</v>
      </c>
      <c r="C21" s="128"/>
      <c r="D21" s="169">
        <v>2</v>
      </c>
      <c r="E21" s="150"/>
      <c r="F21" s="151"/>
      <c r="G21" s="1"/>
      <c r="H21" s="210" t="s">
        <v>52</v>
      </c>
      <c r="I21" s="140"/>
      <c r="J21" s="140"/>
      <c r="K21" s="128"/>
      <c r="L21" s="169">
        <v>2</v>
      </c>
      <c r="M21" s="150"/>
      <c r="N21" s="178"/>
      <c r="O21" s="178"/>
      <c r="P21" s="178"/>
      <c r="Q21" s="151"/>
      <c r="R21" s="19"/>
      <c r="S21" s="154" t="s">
        <v>15</v>
      </c>
      <c r="T21" s="128"/>
      <c r="U21" s="169">
        <f>COUNT(T10:T13)</f>
        <v>1</v>
      </c>
      <c r="V21" s="150"/>
      <c r="W21" s="151"/>
      <c r="X21" s="19"/>
      <c r="Y21" s="209"/>
      <c r="Z21" s="140"/>
      <c r="AA21" s="128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ht="31.5" customHeight="1">
      <c r="B22" s="129"/>
      <c r="C22" s="130"/>
      <c r="D22" s="148"/>
      <c r="E22" s="129"/>
      <c r="F22" s="130"/>
      <c r="G22" s="1"/>
      <c r="H22" s="129"/>
      <c r="I22" s="141"/>
      <c r="J22" s="141"/>
      <c r="K22" s="130"/>
      <c r="L22" s="148"/>
      <c r="M22" s="129"/>
      <c r="N22" s="141"/>
      <c r="O22" s="141"/>
      <c r="P22" s="141"/>
      <c r="Q22" s="130"/>
      <c r="R22" s="19"/>
      <c r="S22" s="129"/>
      <c r="T22" s="130"/>
      <c r="U22" s="148"/>
      <c r="V22" s="129"/>
      <c r="W22" s="130"/>
      <c r="X22" s="19"/>
      <c r="Y22" s="129"/>
      <c r="Z22" s="141"/>
      <c r="AA22" s="130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2:38" ht="31.5" customHeight="1">
      <c r="B23" s="212" t="s">
        <v>35</v>
      </c>
      <c r="C23" s="128"/>
      <c r="D23" s="171">
        <v>2</v>
      </c>
      <c r="E23" s="149" t="s">
        <v>36</v>
      </c>
      <c r="F23" s="128"/>
      <c r="G23" s="1"/>
      <c r="H23" s="212" t="s">
        <v>35</v>
      </c>
      <c r="I23" s="140"/>
      <c r="J23" s="140"/>
      <c r="K23" s="128"/>
      <c r="L23" s="213">
        <v>1</v>
      </c>
      <c r="M23" s="214" t="s">
        <v>65</v>
      </c>
      <c r="N23" s="140"/>
      <c r="O23" s="140"/>
      <c r="P23" s="140"/>
      <c r="Q23" s="128"/>
      <c r="R23" s="19"/>
      <c r="S23" s="156" t="s">
        <v>16</v>
      </c>
      <c r="T23" s="128"/>
      <c r="U23" s="171">
        <f>COUNT(U10:U13)</f>
        <v>1</v>
      </c>
      <c r="V23" s="149" t="s">
        <v>37</v>
      </c>
      <c r="W23" s="128"/>
      <c r="X23" s="19"/>
      <c r="Y23" s="206"/>
      <c r="Z23" s="140"/>
      <c r="AA23" s="128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2:38" ht="31.5" customHeight="1">
      <c r="B24" s="129"/>
      <c r="C24" s="130"/>
      <c r="D24" s="148"/>
      <c r="E24" s="150"/>
      <c r="F24" s="151"/>
      <c r="G24" s="1"/>
      <c r="H24" s="129"/>
      <c r="I24" s="141"/>
      <c r="J24" s="141"/>
      <c r="K24" s="130"/>
      <c r="L24" s="148"/>
      <c r="M24" s="150"/>
      <c r="N24" s="178"/>
      <c r="O24" s="178"/>
      <c r="P24" s="178"/>
      <c r="Q24" s="151"/>
      <c r="R24" s="19"/>
      <c r="S24" s="129"/>
      <c r="T24" s="130"/>
      <c r="U24" s="148"/>
      <c r="V24" s="150"/>
      <c r="W24" s="151"/>
      <c r="X24" s="19"/>
      <c r="Y24" s="129"/>
      <c r="Z24" s="141"/>
      <c r="AA24" s="130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2:38" ht="31.5" customHeight="1">
      <c r="B25" s="210" t="s">
        <v>38</v>
      </c>
      <c r="C25" s="128"/>
      <c r="D25" s="169">
        <v>1</v>
      </c>
      <c r="E25" s="150"/>
      <c r="F25" s="151"/>
      <c r="G25" s="1"/>
      <c r="H25" s="210" t="s">
        <v>39</v>
      </c>
      <c r="I25" s="140"/>
      <c r="J25" s="140"/>
      <c r="K25" s="128"/>
      <c r="L25" s="169">
        <v>2</v>
      </c>
      <c r="M25" s="150"/>
      <c r="N25" s="178"/>
      <c r="O25" s="178"/>
      <c r="P25" s="178"/>
      <c r="Q25" s="151"/>
      <c r="R25" s="19"/>
      <c r="S25" s="154" t="s">
        <v>17</v>
      </c>
      <c r="T25" s="128"/>
      <c r="U25" s="163">
        <f>COUNT(V10:V13)</f>
        <v>0</v>
      </c>
      <c r="V25" s="150"/>
      <c r="W25" s="151"/>
      <c r="X25" s="19"/>
      <c r="Y25" s="205"/>
      <c r="Z25" s="140"/>
      <c r="AA25" s="128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2:38" ht="31.5" customHeight="1">
      <c r="B26" s="129"/>
      <c r="C26" s="130"/>
      <c r="D26" s="148"/>
      <c r="E26" s="150"/>
      <c r="F26" s="151"/>
      <c r="G26" s="1"/>
      <c r="H26" s="129"/>
      <c r="I26" s="141"/>
      <c r="J26" s="141"/>
      <c r="K26" s="130"/>
      <c r="L26" s="148"/>
      <c r="M26" s="129"/>
      <c r="N26" s="141"/>
      <c r="O26" s="141"/>
      <c r="P26" s="141"/>
      <c r="Q26" s="130"/>
      <c r="R26" s="19"/>
      <c r="S26" s="129"/>
      <c r="T26" s="130"/>
      <c r="U26" s="148"/>
      <c r="V26" s="150"/>
      <c r="W26" s="151"/>
      <c r="X26" s="19"/>
      <c r="Y26" s="129"/>
      <c r="Z26" s="141"/>
      <c r="AA26" s="130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2:38" ht="31.5" customHeight="1">
      <c r="B27" s="212" t="s">
        <v>39</v>
      </c>
      <c r="C27" s="128"/>
      <c r="D27" s="171">
        <v>2</v>
      </c>
      <c r="E27" s="150"/>
      <c r="F27" s="151"/>
      <c r="G27" s="1"/>
      <c r="H27" s="212" t="s">
        <v>38</v>
      </c>
      <c r="I27" s="140"/>
      <c r="J27" s="140"/>
      <c r="K27" s="128"/>
      <c r="L27" s="171">
        <v>1</v>
      </c>
      <c r="M27" s="214" t="s">
        <v>66</v>
      </c>
      <c r="N27" s="140"/>
      <c r="O27" s="140"/>
      <c r="P27" s="140"/>
      <c r="Q27" s="128"/>
      <c r="R27" s="19"/>
      <c r="S27" s="156" t="s">
        <v>40</v>
      </c>
      <c r="T27" s="128"/>
      <c r="U27" s="171">
        <v>0</v>
      </c>
      <c r="V27" s="150"/>
      <c r="W27" s="151"/>
      <c r="X27" s="19"/>
      <c r="Y27" s="206"/>
      <c r="Z27" s="140"/>
      <c r="AA27" s="128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2:38" ht="31.5" customHeight="1">
      <c r="B28" s="129"/>
      <c r="C28" s="130"/>
      <c r="D28" s="148"/>
      <c r="E28" s="129"/>
      <c r="F28" s="130"/>
      <c r="G28" s="1"/>
      <c r="H28" s="129"/>
      <c r="I28" s="141"/>
      <c r="J28" s="141"/>
      <c r="K28" s="130"/>
      <c r="L28" s="148"/>
      <c r="M28" s="129"/>
      <c r="N28" s="141"/>
      <c r="O28" s="141"/>
      <c r="P28" s="141"/>
      <c r="Q28" s="130"/>
      <c r="R28" s="19"/>
      <c r="S28" s="129"/>
      <c r="T28" s="130"/>
      <c r="U28" s="148"/>
      <c r="V28" s="129"/>
      <c r="W28" s="130"/>
      <c r="X28" s="19"/>
      <c r="Y28" s="129"/>
      <c r="Z28" s="141"/>
      <c r="AA28" s="130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2:38" ht="15.7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2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2:38" ht="15.7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2:38" ht="15.7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2:38" ht="15.7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2:38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2:38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2:38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2:38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2:38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2:38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2:38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2:38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2:38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2:38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2:38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2:38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2:38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2:38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2:38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2:38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2:38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2:38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2:38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2:38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2:38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2:38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2:38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2:38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2:38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2:38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2:38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2:38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2:38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2:38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2:38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2:38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2:38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2:38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2:38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2:38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2:38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2:38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2:38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2:38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2:38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2:38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2:38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2:38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2:38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2:38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2:38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2:38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2:38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2:38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2:38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2:38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2:38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2:38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2:38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2:38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2:38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2:38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2:38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2:38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2:38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2:38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2:38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2:38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2:38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2:38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2:38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2:38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2:38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2:38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2:38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2:38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2:38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2:38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2:38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2:38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2:38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2:38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2:38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2:38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2:38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2:38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2:38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2:38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2:38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2:38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2:38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2:38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2:38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2:38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2:38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2:38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2:38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2:38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2:38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2:38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2:38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2:38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2:38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2:38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2:38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2:38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2:38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2:38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2:38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2:38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2:38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2:38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2:38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2:38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2:38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2:38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2:38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2:38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2:38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2:38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2:38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2:38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2:38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2:38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2:38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2:38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2:38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2:38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2:38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2:38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2:38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2:38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2:38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2:38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2:38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2:38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2:38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2:38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2:38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2:38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2:38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2:38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2:38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2:38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2:38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2:38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2:38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2:38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2:38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2:38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2:38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2:38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2:38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2:38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2:38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2:38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2:38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2:38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2:38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2:38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2:38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2:38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2:38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2:38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2:38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2:38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2:38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2:38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2:38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2:38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2:38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2:38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2:38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2:38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2:38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2:38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2:38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2:38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2:38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2:38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2:38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2:38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2:38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2:38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2:38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2:38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2:38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2:38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2:38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2:38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2:38" ht="15.75" customHeight="1"/>
    <row r="227" spans="2:38" ht="15.75" customHeight="1"/>
    <row r="228" spans="2:38" ht="15.75" customHeight="1"/>
    <row r="229" spans="2:38" ht="15.75" customHeight="1"/>
    <row r="230" spans="2:38" ht="15.75" customHeight="1"/>
    <row r="231" spans="2:38" ht="15.75" customHeight="1"/>
    <row r="232" spans="2:38" ht="15.75" customHeight="1"/>
    <row r="233" spans="2:38" ht="15.75" customHeight="1"/>
    <row r="234" spans="2:38" ht="15.75" customHeight="1"/>
    <row r="235" spans="2:38" ht="15.75" customHeight="1"/>
    <row r="236" spans="2:38" ht="15.75" customHeight="1"/>
    <row r="237" spans="2:38" ht="15.75" customHeight="1"/>
    <row r="238" spans="2:38" ht="15.75" customHeight="1"/>
    <row r="239" spans="2:38" ht="15.75" customHeight="1"/>
    <row r="240" spans="2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33">
    <mergeCell ref="B3:P3"/>
    <mergeCell ref="Q3:AA3"/>
    <mergeCell ref="B6:C6"/>
    <mergeCell ref="D6:E6"/>
    <mergeCell ref="H6:I6"/>
    <mergeCell ref="K6:L6"/>
    <mergeCell ref="S6:T6"/>
    <mergeCell ref="I10:I11"/>
    <mergeCell ref="J10:J11"/>
    <mergeCell ref="K10:K11"/>
    <mergeCell ref="L10:L11"/>
    <mergeCell ref="M10:M11"/>
    <mergeCell ref="N10:N11"/>
    <mergeCell ref="O10:O11"/>
    <mergeCell ref="U6:V6"/>
    <mergeCell ref="E10:E11"/>
    <mergeCell ref="AB6:AC6"/>
    <mergeCell ref="B12:B13"/>
    <mergeCell ref="C12:C13"/>
    <mergeCell ref="D12:D13"/>
    <mergeCell ref="E12:E13"/>
    <mergeCell ref="F12:F13"/>
    <mergeCell ref="P10:P11"/>
    <mergeCell ref="W12:W13"/>
    <mergeCell ref="Y12:Z13"/>
    <mergeCell ref="O12:O13"/>
    <mergeCell ref="P12:P13"/>
    <mergeCell ref="Q12:Q13"/>
    <mergeCell ref="S12:S13"/>
    <mergeCell ref="T12:T13"/>
    <mergeCell ref="U12:U13"/>
    <mergeCell ref="V12:V13"/>
    <mergeCell ref="Q10:Q11"/>
    <mergeCell ref="S10:S11"/>
    <mergeCell ref="T10:T11"/>
    <mergeCell ref="U10:U11"/>
    <mergeCell ref="V10:V11"/>
    <mergeCell ref="W10:W11"/>
    <mergeCell ref="Y10:Z11"/>
    <mergeCell ref="D10:D11"/>
    <mergeCell ref="B16:E16"/>
    <mergeCell ref="B18:C18"/>
    <mergeCell ref="E18:F18"/>
    <mergeCell ref="B19:C20"/>
    <mergeCell ref="D19:D20"/>
    <mergeCell ref="E19:F22"/>
    <mergeCell ref="AA10:AA11"/>
    <mergeCell ref="AA12:AA13"/>
    <mergeCell ref="B8:F8"/>
    <mergeCell ref="H8:Q8"/>
    <mergeCell ref="S8:W8"/>
    <mergeCell ref="Y8:AA8"/>
    <mergeCell ref="Y9:Z9"/>
    <mergeCell ref="B10:B11"/>
    <mergeCell ref="C10:C11"/>
    <mergeCell ref="H12:H13"/>
    <mergeCell ref="I12:I13"/>
    <mergeCell ref="J12:J13"/>
    <mergeCell ref="K12:K13"/>
    <mergeCell ref="L12:L13"/>
    <mergeCell ref="M12:M13"/>
    <mergeCell ref="N12:N13"/>
    <mergeCell ref="F10:F11"/>
    <mergeCell ref="H10:H11"/>
    <mergeCell ref="H27:K28"/>
    <mergeCell ref="L27:L28"/>
    <mergeCell ref="M27:Q28"/>
    <mergeCell ref="S27:T28"/>
    <mergeCell ref="B23:C24"/>
    <mergeCell ref="D23:D24"/>
    <mergeCell ref="E23:F28"/>
    <mergeCell ref="B25:C26"/>
    <mergeCell ref="D25:D26"/>
    <mergeCell ref="B27:C28"/>
    <mergeCell ref="D27:D28"/>
    <mergeCell ref="M18:Q18"/>
    <mergeCell ref="M19:Q22"/>
    <mergeCell ref="S19:T20"/>
    <mergeCell ref="L19:L20"/>
    <mergeCell ref="H23:K24"/>
    <mergeCell ref="H25:K26"/>
    <mergeCell ref="S23:T24"/>
    <mergeCell ref="S25:T26"/>
    <mergeCell ref="L25:L26"/>
    <mergeCell ref="K14:K15"/>
    <mergeCell ref="L14:L15"/>
    <mergeCell ref="M14:M15"/>
    <mergeCell ref="N14:N15"/>
    <mergeCell ref="O14:O15"/>
    <mergeCell ref="P14:P15"/>
    <mergeCell ref="H16:P16"/>
    <mergeCell ref="Q14:Q15"/>
    <mergeCell ref="S14:S15"/>
    <mergeCell ref="B21:C22"/>
    <mergeCell ref="D21:D22"/>
    <mergeCell ref="H21:K22"/>
    <mergeCell ref="L21:L22"/>
    <mergeCell ref="Y23:AA24"/>
    <mergeCell ref="Y14:Z15"/>
    <mergeCell ref="AA14:AA15"/>
    <mergeCell ref="Y16:Z16"/>
    <mergeCell ref="B14:B15"/>
    <mergeCell ref="C14:C15"/>
    <mergeCell ref="D14:D15"/>
    <mergeCell ref="E14:E15"/>
    <mergeCell ref="F14:F15"/>
    <mergeCell ref="H14:H15"/>
    <mergeCell ref="I14:I15"/>
    <mergeCell ref="H18:K18"/>
    <mergeCell ref="H19:K20"/>
    <mergeCell ref="L23:L24"/>
    <mergeCell ref="M23:Q26"/>
    <mergeCell ref="U23:U24"/>
    <mergeCell ref="V23:W28"/>
    <mergeCell ref="U25:U26"/>
    <mergeCell ref="U27:U28"/>
    <mergeCell ref="J14:J15"/>
    <mergeCell ref="Y25:AA26"/>
    <mergeCell ref="Y27:AA28"/>
    <mergeCell ref="V14:V15"/>
    <mergeCell ref="S16:V16"/>
    <mergeCell ref="S18:T18"/>
    <mergeCell ref="V18:W18"/>
    <mergeCell ref="Y18:AA18"/>
    <mergeCell ref="Y19:AA20"/>
    <mergeCell ref="Y21:AA22"/>
    <mergeCell ref="U19:U20"/>
    <mergeCell ref="V19:W22"/>
    <mergeCell ref="S21:T22"/>
    <mergeCell ref="U21:U22"/>
    <mergeCell ref="T14:T15"/>
    <mergeCell ref="U14:U15"/>
    <mergeCell ref="W14:W15"/>
  </mergeCells>
  <printOptions horizontalCentered="1"/>
  <pageMargins left="0.25" right="0.25" top="0.75" bottom="0.75" header="0" footer="0"/>
  <pageSetup fitToHeight="0" pageOrder="overThenDown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B1:AD1000"/>
  <sheetViews>
    <sheetView workbookViewId="0"/>
  </sheetViews>
  <sheetFormatPr defaultColWidth="12.5703125" defaultRowHeight="15" customHeight="1"/>
  <cols>
    <col min="1" max="1" width="12.5703125" customWidth="1"/>
    <col min="2" max="2" width="10.85546875" customWidth="1"/>
    <col min="3" max="3" width="38" customWidth="1"/>
    <col min="4" max="9" width="25.85546875" customWidth="1"/>
    <col min="10" max="10" width="5.85546875" customWidth="1"/>
    <col min="11" max="15" width="25.85546875" customWidth="1"/>
    <col min="16" max="16" width="5.85546875" customWidth="1"/>
    <col min="17" max="19" width="25.85546875" customWidth="1"/>
  </cols>
  <sheetData>
    <row r="1" spans="2:30" ht="15.7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2:30" ht="15.7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2:30" ht="54" customHeight="1">
      <c r="B3" s="177" t="s">
        <v>0</v>
      </c>
      <c r="C3" s="178"/>
      <c r="D3" s="178"/>
      <c r="E3" s="178"/>
      <c r="F3" s="178"/>
      <c r="G3" s="178"/>
      <c r="H3" s="178"/>
      <c r="I3" s="178"/>
      <c r="J3" s="178"/>
      <c r="K3" s="178"/>
      <c r="L3" s="223" t="s">
        <v>41</v>
      </c>
      <c r="M3" s="178"/>
      <c r="N3" s="178"/>
      <c r="O3" s="178"/>
      <c r="P3" s="178"/>
      <c r="Q3" s="178"/>
      <c r="R3" s="178"/>
      <c r="S3" s="178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2:30" ht="1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2:30" ht="15.75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2:30" ht="31.5" customHeight="1">
      <c r="B6" s="180" t="s">
        <v>2</v>
      </c>
      <c r="C6" s="181"/>
      <c r="D6" s="182"/>
      <c r="E6" s="144"/>
      <c r="F6" s="33"/>
      <c r="G6" s="26"/>
      <c r="H6" s="34"/>
      <c r="I6" s="3"/>
      <c r="J6" s="3"/>
      <c r="K6" s="180" t="s">
        <v>3</v>
      </c>
      <c r="L6" s="181"/>
      <c r="M6" s="183" t="s">
        <v>42</v>
      </c>
      <c r="N6" s="144"/>
      <c r="O6" s="3"/>
      <c r="P6" s="3"/>
      <c r="Q6" s="3"/>
      <c r="R6" s="4" t="s">
        <v>5</v>
      </c>
      <c r="S6" s="5">
        <f ca="1">TODAY()</f>
        <v>45989</v>
      </c>
      <c r="T6" s="184"/>
      <c r="U6" s="178"/>
      <c r="V6" s="1"/>
      <c r="W6" s="1"/>
      <c r="X6" s="1"/>
      <c r="Y6" s="1"/>
      <c r="Z6" s="1"/>
      <c r="AA6" s="1"/>
      <c r="AB6" s="1"/>
      <c r="AC6" s="1"/>
      <c r="AD6" s="1"/>
    </row>
    <row r="7" spans="2:30" ht="31.5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2:30" ht="31.5" customHeight="1">
      <c r="B8" s="143" t="s">
        <v>50</v>
      </c>
      <c r="C8" s="146"/>
      <c r="D8" s="146"/>
      <c r="E8" s="146"/>
      <c r="F8" s="146"/>
      <c r="G8" s="146"/>
      <c r="H8" s="146"/>
      <c r="I8" s="144"/>
      <c r="J8" s="6"/>
      <c r="K8" s="157" t="s">
        <v>7</v>
      </c>
      <c r="L8" s="146"/>
      <c r="M8" s="146"/>
      <c r="N8" s="146"/>
      <c r="O8" s="144"/>
      <c r="P8" s="6"/>
      <c r="Q8" s="180" t="s">
        <v>8</v>
      </c>
      <c r="R8" s="146"/>
      <c r="S8" s="144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2:30" ht="31.5" customHeight="1">
      <c r="B9" s="7" t="s">
        <v>9</v>
      </c>
      <c r="C9" s="8" t="s">
        <v>10</v>
      </c>
      <c r="D9" s="9" t="s">
        <v>51</v>
      </c>
      <c r="E9" s="9" t="s">
        <v>52</v>
      </c>
      <c r="F9" s="9" t="s">
        <v>67</v>
      </c>
      <c r="G9" s="9" t="s">
        <v>68</v>
      </c>
      <c r="H9" s="9" t="s">
        <v>12</v>
      </c>
      <c r="I9" s="9" t="s">
        <v>13</v>
      </c>
      <c r="J9" s="10"/>
      <c r="K9" s="9" t="s">
        <v>69</v>
      </c>
      <c r="L9" s="9" t="s">
        <v>15</v>
      </c>
      <c r="M9" s="9" t="s">
        <v>16</v>
      </c>
      <c r="N9" s="9" t="s">
        <v>17</v>
      </c>
      <c r="O9" s="9" t="s">
        <v>13</v>
      </c>
      <c r="P9" s="10"/>
      <c r="Q9" s="221"/>
      <c r="R9" s="144"/>
      <c r="S9" s="35" t="s">
        <v>13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2:30" ht="31.5" customHeight="1">
      <c r="B10" s="169">
        <v>1</v>
      </c>
      <c r="C10" s="163"/>
      <c r="D10" s="164">
        <v>190</v>
      </c>
      <c r="E10" s="164">
        <v>190</v>
      </c>
      <c r="F10" s="244" t="s">
        <v>58</v>
      </c>
      <c r="G10" s="164">
        <v>450</v>
      </c>
      <c r="H10" s="165">
        <v>0.5</v>
      </c>
      <c r="I10" s="164">
        <f>(G10*H10)+G10+E10+D10</f>
        <v>1055</v>
      </c>
      <c r="J10" s="12"/>
      <c r="K10" s="164">
        <v>1330</v>
      </c>
      <c r="L10" s="164">
        <v>1330</v>
      </c>
      <c r="M10" s="164">
        <v>1330</v>
      </c>
      <c r="N10" s="164">
        <v>760</v>
      </c>
      <c r="O10" s="164">
        <f>SUM(K10:N10)</f>
        <v>4750</v>
      </c>
      <c r="P10" s="12"/>
      <c r="Q10" s="232" t="s">
        <v>59</v>
      </c>
      <c r="R10" s="128"/>
      <c r="S10" s="233">
        <f>I14</f>
        <v>2335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2:30" ht="31.5" customHeight="1">
      <c r="B11" s="148"/>
      <c r="C11" s="148"/>
      <c r="D11" s="148"/>
      <c r="E11" s="148"/>
      <c r="F11" s="148"/>
      <c r="G11" s="148"/>
      <c r="H11" s="148"/>
      <c r="I11" s="148"/>
      <c r="J11" s="12"/>
      <c r="K11" s="148"/>
      <c r="L11" s="148"/>
      <c r="M11" s="148"/>
      <c r="N11" s="148"/>
      <c r="O11" s="148"/>
      <c r="P11" s="12"/>
      <c r="Q11" s="129"/>
      <c r="R11" s="130"/>
      <c r="S11" s="148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2:30" ht="31.5" customHeight="1">
      <c r="B12" s="171">
        <v>2</v>
      </c>
      <c r="C12" s="171"/>
      <c r="D12" s="172">
        <v>190</v>
      </c>
      <c r="E12" s="172">
        <v>190</v>
      </c>
      <c r="F12" s="245" t="s">
        <v>58</v>
      </c>
      <c r="G12" s="172">
        <v>450</v>
      </c>
      <c r="H12" s="173">
        <v>1</v>
      </c>
      <c r="I12" s="172">
        <f>(G12*H12)+G12+E12+D12</f>
        <v>1280</v>
      </c>
      <c r="J12" s="12"/>
      <c r="K12" s="152"/>
      <c r="L12" s="152"/>
      <c r="M12" s="172"/>
      <c r="N12" s="152"/>
      <c r="O12" s="172">
        <f>SUM(K12:N12)</f>
        <v>0</v>
      </c>
      <c r="P12" s="12"/>
      <c r="Q12" s="232" t="s">
        <v>21</v>
      </c>
      <c r="R12" s="128"/>
      <c r="S12" s="234">
        <f>O14</f>
        <v>4750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2:30" ht="31.5" customHeight="1">
      <c r="B13" s="148"/>
      <c r="C13" s="148"/>
      <c r="D13" s="148"/>
      <c r="E13" s="148"/>
      <c r="F13" s="148"/>
      <c r="G13" s="148"/>
      <c r="H13" s="148"/>
      <c r="I13" s="148"/>
      <c r="J13" s="12"/>
      <c r="K13" s="148"/>
      <c r="L13" s="148"/>
      <c r="M13" s="148"/>
      <c r="N13" s="148"/>
      <c r="O13" s="148"/>
      <c r="P13" s="12"/>
      <c r="Q13" s="129"/>
      <c r="R13" s="130"/>
      <c r="S13" s="148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2:30" ht="31.5" customHeight="1">
      <c r="B14" s="174" t="s">
        <v>59</v>
      </c>
      <c r="C14" s="146"/>
      <c r="D14" s="146"/>
      <c r="E14" s="146"/>
      <c r="F14" s="146"/>
      <c r="G14" s="146"/>
      <c r="H14" s="144"/>
      <c r="I14" s="36">
        <f>SUM(I10:I13)</f>
        <v>2335</v>
      </c>
      <c r="J14" s="13"/>
      <c r="K14" s="168" t="s">
        <v>21</v>
      </c>
      <c r="L14" s="146"/>
      <c r="M14" s="146"/>
      <c r="N14" s="144"/>
      <c r="O14" s="15">
        <f>SUM(O10:O13)</f>
        <v>4750</v>
      </c>
      <c r="P14" s="13"/>
      <c r="Q14" s="207" t="s">
        <v>25</v>
      </c>
      <c r="R14" s="144"/>
      <c r="S14" s="37">
        <f>SUM(S10:S13)</f>
        <v>7085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2:30" ht="31.5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2:30" ht="31.5" customHeight="1">
      <c r="B16" s="143" t="s">
        <v>26</v>
      </c>
      <c r="C16" s="146"/>
      <c r="D16" s="144"/>
      <c r="E16" s="17" t="s">
        <v>9</v>
      </c>
      <c r="F16" s="143" t="s">
        <v>27</v>
      </c>
      <c r="G16" s="146"/>
      <c r="H16" s="146"/>
      <c r="I16" s="144"/>
      <c r="J16" s="6"/>
      <c r="K16" s="243" t="s">
        <v>26</v>
      </c>
      <c r="L16" s="228"/>
      <c r="M16" s="38" t="s">
        <v>9</v>
      </c>
      <c r="N16" s="243" t="s">
        <v>27</v>
      </c>
      <c r="O16" s="228"/>
      <c r="P16" s="6"/>
      <c r="Q16" s="226" t="s">
        <v>28</v>
      </c>
      <c r="R16" s="227"/>
      <c r="S16" s="228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2:30" ht="31.5" customHeight="1">
      <c r="B17" s="212" t="s">
        <v>60</v>
      </c>
      <c r="C17" s="140"/>
      <c r="D17" s="128"/>
      <c r="E17" s="147">
        <f>COUNT(B10:B13)</f>
        <v>2</v>
      </c>
      <c r="F17" s="242" t="s">
        <v>61</v>
      </c>
      <c r="G17" s="140"/>
      <c r="H17" s="140"/>
      <c r="I17" s="128"/>
      <c r="J17" s="19"/>
      <c r="K17" s="236" t="s">
        <v>69</v>
      </c>
      <c r="L17" s="186"/>
      <c r="M17" s="203">
        <f>COUNT(K10:K13)</f>
        <v>1</v>
      </c>
      <c r="N17" s="196" t="s">
        <v>32</v>
      </c>
      <c r="O17" s="191"/>
      <c r="P17" s="19"/>
      <c r="Q17" s="229"/>
      <c r="R17" s="230"/>
      <c r="S17" s="19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2:30" ht="31.5" customHeight="1">
      <c r="B18" s="129"/>
      <c r="C18" s="141"/>
      <c r="D18" s="130"/>
      <c r="E18" s="148"/>
      <c r="F18" s="150"/>
      <c r="G18" s="178"/>
      <c r="H18" s="178"/>
      <c r="I18" s="151"/>
      <c r="J18" s="19"/>
      <c r="K18" s="187"/>
      <c r="L18" s="188"/>
      <c r="M18" s="195"/>
      <c r="N18" s="197"/>
      <c r="O18" s="151"/>
      <c r="P18" s="19"/>
      <c r="Q18" s="187"/>
      <c r="R18" s="231"/>
      <c r="S18" s="199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2:30" ht="31.5" customHeight="1">
      <c r="B19" s="210" t="s">
        <v>52</v>
      </c>
      <c r="C19" s="140"/>
      <c r="D19" s="128"/>
      <c r="E19" s="153">
        <f>COUNT(B10:B13)</f>
        <v>2</v>
      </c>
      <c r="F19" s="150"/>
      <c r="G19" s="178"/>
      <c r="H19" s="178"/>
      <c r="I19" s="151"/>
      <c r="J19" s="19"/>
      <c r="K19" s="240" t="s">
        <v>15</v>
      </c>
      <c r="L19" s="186"/>
      <c r="M19" s="201">
        <f>COUNT(L10:L13)</f>
        <v>1</v>
      </c>
      <c r="N19" s="197"/>
      <c r="O19" s="151"/>
      <c r="P19" s="19"/>
      <c r="Q19" s="237"/>
      <c r="R19" s="230"/>
      <c r="S19" s="19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2:30" ht="31.5" customHeight="1">
      <c r="B20" s="129"/>
      <c r="C20" s="141"/>
      <c r="D20" s="130"/>
      <c r="E20" s="148"/>
      <c r="F20" s="129"/>
      <c r="G20" s="141"/>
      <c r="H20" s="141"/>
      <c r="I20" s="130"/>
      <c r="J20" s="19"/>
      <c r="K20" s="187"/>
      <c r="L20" s="188"/>
      <c r="M20" s="195"/>
      <c r="N20" s="198"/>
      <c r="O20" s="199"/>
      <c r="P20" s="19"/>
      <c r="Q20" s="187"/>
      <c r="R20" s="231"/>
      <c r="S20" s="199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2:30" ht="31.5" customHeight="1">
      <c r="B21" s="212" t="s">
        <v>35</v>
      </c>
      <c r="C21" s="140"/>
      <c r="D21" s="128"/>
      <c r="E21" s="147">
        <v>0</v>
      </c>
      <c r="F21" s="214" t="s">
        <v>65</v>
      </c>
      <c r="G21" s="140"/>
      <c r="H21" s="140"/>
      <c r="I21" s="128"/>
      <c r="J21" s="19"/>
      <c r="K21" s="236" t="s">
        <v>16</v>
      </c>
      <c r="L21" s="186"/>
      <c r="M21" s="203">
        <f>COUNT(M10:M13)</f>
        <v>1</v>
      </c>
      <c r="N21" s="190" t="s">
        <v>37</v>
      </c>
      <c r="O21" s="230"/>
      <c r="P21" s="20"/>
      <c r="Q21" s="238"/>
      <c r="R21" s="230"/>
      <c r="S21" s="19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2:30" ht="31.5" customHeight="1">
      <c r="B22" s="129"/>
      <c r="C22" s="141"/>
      <c r="D22" s="130"/>
      <c r="E22" s="148"/>
      <c r="F22" s="150"/>
      <c r="G22" s="178"/>
      <c r="H22" s="178"/>
      <c r="I22" s="151"/>
      <c r="J22" s="19"/>
      <c r="K22" s="187"/>
      <c r="L22" s="188"/>
      <c r="M22" s="195"/>
      <c r="N22" s="178"/>
      <c r="O22" s="178"/>
      <c r="P22" s="20"/>
      <c r="Q22" s="187"/>
      <c r="R22" s="231"/>
      <c r="S22" s="199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2:30" ht="31.5" customHeight="1">
      <c r="B23" s="210" t="s">
        <v>38</v>
      </c>
      <c r="C23" s="140"/>
      <c r="D23" s="128"/>
      <c r="E23" s="153">
        <v>0</v>
      </c>
      <c r="F23" s="150"/>
      <c r="G23" s="178"/>
      <c r="H23" s="178"/>
      <c r="I23" s="151"/>
      <c r="J23" s="19"/>
      <c r="K23" s="240" t="s">
        <v>17</v>
      </c>
      <c r="L23" s="186"/>
      <c r="M23" s="241">
        <f>COUNT(N10:N13)</f>
        <v>1</v>
      </c>
      <c r="N23" s="178"/>
      <c r="O23" s="178"/>
      <c r="P23" s="20"/>
      <c r="Q23" s="239"/>
      <c r="R23" s="230"/>
      <c r="S23" s="19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2:30" ht="31.5" customHeight="1">
      <c r="B24" s="129"/>
      <c r="C24" s="141"/>
      <c r="D24" s="130"/>
      <c r="E24" s="148"/>
      <c r="F24" s="129"/>
      <c r="G24" s="141"/>
      <c r="H24" s="141"/>
      <c r="I24" s="130"/>
      <c r="J24" s="39"/>
      <c r="K24" s="187"/>
      <c r="L24" s="188"/>
      <c r="M24" s="195"/>
      <c r="N24" s="178"/>
      <c r="O24" s="178"/>
      <c r="P24" s="20"/>
      <c r="Q24" s="187"/>
      <c r="R24" s="231"/>
      <c r="S24" s="199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2:30" ht="31.5" customHeight="1">
      <c r="B25" s="212" t="s">
        <v>39</v>
      </c>
      <c r="C25" s="140"/>
      <c r="D25" s="128"/>
      <c r="E25" s="152">
        <f>COUNT(B10:B13)</f>
        <v>2</v>
      </c>
      <c r="F25" s="214" t="s">
        <v>70</v>
      </c>
      <c r="G25" s="140"/>
      <c r="H25" s="140"/>
      <c r="I25" s="128"/>
      <c r="J25" s="39"/>
      <c r="K25" s="236" t="s">
        <v>40</v>
      </c>
      <c r="L25" s="186"/>
      <c r="M25" s="203">
        <v>0</v>
      </c>
      <c r="N25" s="178"/>
      <c r="O25" s="178"/>
      <c r="P25" s="40"/>
      <c r="Q25" s="238"/>
      <c r="R25" s="230"/>
      <c r="S25" s="19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2:30" ht="31.5" customHeight="1">
      <c r="B26" s="129"/>
      <c r="C26" s="141"/>
      <c r="D26" s="130"/>
      <c r="E26" s="148"/>
      <c r="F26" s="129"/>
      <c r="G26" s="141"/>
      <c r="H26" s="141"/>
      <c r="I26" s="130"/>
      <c r="J26" s="39"/>
      <c r="K26" s="129"/>
      <c r="L26" s="202"/>
      <c r="M26" s="204"/>
      <c r="N26" s="141"/>
      <c r="O26" s="141"/>
      <c r="P26" s="40"/>
      <c r="Q26" s="129"/>
      <c r="R26" s="141"/>
      <c r="S26" s="130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2:30" ht="31.5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2:30" ht="31.5" customHeight="1">
      <c r="B28" s="235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2:30" ht="15.7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2:30" ht="15.7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2:30" ht="15.7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2:30" ht="15.7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2:30" ht="15.7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2:30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2:30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2:30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2:30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2:30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2:30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2:30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2:30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2:30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2:30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2:30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2:30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2:30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2:30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2:30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2:30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2:30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2:30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2:30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2:30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2:30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2:30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2:30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2:30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2:30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2:30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2:30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2:30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2:30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2:30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2:30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2:30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2:30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2:30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2:30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2:30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2:30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2:30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2:30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2:30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2:30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2:30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2:30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2:30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2:30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2:30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2:30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2:30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2:30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2:30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2:30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2:30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2:30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2:30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2:30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2:30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2:30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2:30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2:30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2:30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2:30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2:30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2:30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2:30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2:30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2:30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2:30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2:30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2:30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2:30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2:30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2:30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2:30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2:30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2:30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2:30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2:30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2:30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2:30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2:30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2:30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2:30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2:30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2:30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2:30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2:30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2:30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2:30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2:30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2:30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2:30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2:30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2:30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2:30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2:30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2:30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2:30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2:30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2:30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2:30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2:30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2:30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2:30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2:30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2:30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2:30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2:30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2:30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2:30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2:30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2:30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2:30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2:30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2:30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2:30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2:30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2:30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2:30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2:30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2:30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2:30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2:30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2:30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2:30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2:30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2:30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2:30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2:30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2:30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2:30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2:30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2:30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2:30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2:30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2:30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2:30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2:30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2:30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2:30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2:30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2:30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2:30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2:30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2:30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2:30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2:30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2:30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2:30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2:30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2:30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2:30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2:30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2:30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2:30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2:30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2:30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2:30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2:30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2:30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2:30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2:30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2:30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2:30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2:30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2:30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2:30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2:30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2:30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2:30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2:30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2:30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2:30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2:30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2:30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2:30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2:30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2:30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2:30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2:30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2:30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2:30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2:30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2:30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2:30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2:30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2:30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2:30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2:30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2:30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2:30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2:30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2:30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2:30" ht="15.75" customHeight="1"/>
    <row r="227" spans="2:30" ht="15.75" customHeight="1"/>
    <row r="228" spans="2:30" ht="15.75" customHeight="1"/>
    <row r="229" spans="2:30" ht="15.75" customHeight="1"/>
    <row r="230" spans="2:30" ht="15.75" customHeight="1"/>
    <row r="231" spans="2:30" ht="15.75" customHeight="1"/>
    <row r="232" spans="2:30" ht="15.75" customHeight="1"/>
    <row r="233" spans="2:30" ht="15.75" customHeight="1"/>
    <row r="234" spans="2:30" ht="15.75" customHeight="1"/>
    <row r="235" spans="2:30" ht="15.75" customHeight="1"/>
    <row r="236" spans="2:30" ht="15.75" customHeight="1"/>
    <row r="237" spans="2:30" ht="15.75" customHeight="1"/>
    <row r="238" spans="2:30" ht="15.75" customHeight="1"/>
    <row r="239" spans="2:30" ht="15.75" customHeight="1"/>
    <row r="240" spans="2:3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G10:G11"/>
    <mergeCell ref="H10:H11"/>
    <mergeCell ref="G12:G13"/>
    <mergeCell ref="H12:H13"/>
    <mergeCell ref="I12:I13"/>
    <mergeCell ref="E10:E11"/>
    <mergeCell ref="F10:F11"/>
    <mergeCell ref="B12:B13"/>
    <mergeCell ref="C12:C13"/>
    <mergeCell ref="E12:E13"/>
    <mergeCell ref="F12:F13"/>
    <mergeCell ref="B10:B11"/>
    <mergeCell ref="C10:C11"/>
    <mergeCell ref="D10:D11"/>
    <mergeCell ref="D12:D13"/>
    <mergeCell ref="B14:H14"/>
    <mergeCell ref="B17:D18"/>
    <mergeCell ref="E17:E18"/>
    <mergeCell ref="F17:I20"/>
    <mergeCell ref="M17:M18"/>
    <mergeCell ref="B19:D20"/>
    <mergeCell ref="K14:N14"/>
    <mergeCell ref="K16:L16"/>
    <mergeCell ref="N16:O16"/>
    <mergeCell ref="B16:D16"/>
    <mergeCell ref="F16:I16"/>
    <mergeCell ref="K17:L18"/>
    <mergeCell ref="K19:L20"/>
    <mergeCell ref="M19:M20"/>
    <mergeCell ref="Q19:S20"/>
    <mergeCell ref="Q21:S22"/>
    <mergeCell ref="Q23:S24"/>
    <mergeCell ref="B21:D22"/>
    <mergeCell ref="E21:E22"/>
    <mergeCell ref="F21:I24"/>
    <mergeCell ref="N21:O26"/>
    <mergeCell ref="K21:L22"/>
    <mergeCell ref="Q25:S26"/>
    <mergeCell ref="B23:D24"/>
    <mergeCell ref="E23:E24"/>
    <mergeCell ref="N17:O20"/>
    <mergeCell ref="E19:E20"/>
    <mergeCell ref="M21:M22"/>
    <mergeCell ref="K23:L24"/>
    <mergeCell ref="M23:M24"/>
    <mergeCell ref="B3:K3"/>
    <mergeCell ref="L3:S3"/>
    <mergeCell ref="B6:C6"/>
    <mergeCell ref="D6:E6"/>
    <mergeCell ref="K6:L6"/>
    <mergeCell ref="M6:N6"/>
    <mergeCell ref="T6:U6"/>
    <mergeCell ref="I10:I11"/>
    <mergeCell ref="K10:K11"/>
    <mergeCell ref="K12:K13"/>
    <mergeCell ref="L10:L11"/>
    <mergeCell ref="M10:M11"/>
    <mergeCell ref="L12:L13"/>
    <mergeCell ref="M12:M13"/>
    <mergeCell ref="N10:N11"/>
    <mergeCell ref="O10:O11"/>
    <mergeCell ref="N12:N13"/>
    <mergeCell ref="O12:O13"/>
    <mergeCell ref="B8:I8"/>
    <mergeCell ref="K8:O8"/>
    <mergeCell ref="Q8:S8"/>
    <mergeCell ref="Q9:R9"/>
    <mergeCell ref="B28:S28"/>
    <mergeCell ref="B25:D26"/>
    <mergeCell ref="K25:L26"/>
    <mergeCell ref="M25:M26"/>
    <mergeCell ref="F25:I26"/>
    <mergeCell ref="E25:E26"/>
    <mergeCell ref="Q16:S16"/>
    <mergeCell ref="Q17:S18"/>
    <mergeCell ref="Q10:R11"/>
    <mergeCell ref="S10:S11"/>
    <mergeCell ref="Q12:R13"/>
    <mergeCell ref="S12:S13"/>
    <mergeCell ref="Q14:R14"/>
  </mergeCells>
  <printOptions horizontalCentered="1"/>
  <pageMargins left="0.25" right="0.25" top="0.75" bottom="0.75" header="0" footer="0"/>
  <pageSetup fitToHeight="0" pageOrder="overThenDown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000"/>
  <sheetViews>
    <sheetView workbookViewId="0"/>
  </sheetViews>
  <sheetFormatPr defaultColWidth="12.5703125" defaultRowHeight="15" customHeight="1"/>
  <cols>
    <col min="1" max="1" width="12.5703125" customWidth="1"/>
    <col min="2" max="2" width="10.85546875" customWidth="1"/>
    <col min="3" max="3" width="41.5703125" customWidth="1"/>
    <col min="4" max="4" width="25.85546875" customWidth="1"/>
    <col min="5" max="5" width="23.85546875" customWidth="1"/>
    <col min="6" max="6" width="15.140625" customWidth="1"/>
    <col min="7" max="7" width="31.85546875" customWidth="1"/>
    <col min="8" max="8" width="36.140625" customWidth="1"/>
    <col min="9" max="9" width="24" customWidth="1"/>
    <col min="10" max="10" width="25.85546875" customWidth="1"/>
    <col min="11" max="11" width="5.85546875" customWidth="1"/>
    <col min="12" max="14" width="25.85546875" customWidth="1"/>
  </cols>
  <sheetData>
    <row r="1" spans="2:25" ht="15.7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2:25" ht="15.7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2:25" ht="54" customHeight="1">
      <c r="B3" s="177" t="s">
        <v>0</v>
      </c>
      <c r="C3" s="178"/>
      <c r="D3" s="178"/>
      <c r="E3" s="178"/>
      <c r="F3" s="178"/>
      <c r="G3" s="178"/>
      <c r="H3" s="179" t="s">
        <v>41</v>
      </c>
      <c r="I3" s="178"/>
      <c r="J3" s="178"/>
      <c r="K3" s="178"/>
      <c r="L3" s="178"/>
      <c r="M3" s="178"/>
      <c r="N3" s="178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2:25" ht="1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2:25" ht="15.75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2:25" ht="31.5" customHeight="1">
      <c r="B6" s="180" t="s">
        <v>2</v>
      </c>
      <c r="C6" s="181"/>
      <c r="D6" s="182"/>
      <c r="E6" s="144"/>
      <c r="F6" s="33"/>
      <c r="G6" s="26"/>
      <c r="H6" s="27"/>
      <c r="I6" s="27"/>
      <c r="J6" s="3"/>
      <c r="K6" s="3"/>
      <c r="L6" s="3"/>
      <c r="M6" s="4" t="s">
        <v>5</v>
      </c>
      <c r="N6" s="5">
        <f ca="1">TODAY()</f>
        <v>45989</v>
      </c>
      <c r="O6" s="184"/>
      <c r="P6" s="178"/>
      <c r="Q6" s="1"/>
      <c r="R6" s="1"/>
      <c r="S6" s="1"/>
      <c r="T6" s="1"/>
      <c r="U6" s="1"/>
      <c r="V6" s="1"/>
      <c r="W6" s="1"/>
      <c r="X6" s="1"/>
      <c r="Y6" s="1"/>
    </row>
    <row r="7" spans="2:25" ht="31.5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2:25" ht="31.5" customHeight="1">
      <c r="B8" s="143" t="s">
        <v>71</v>
      </c>
      <c r="C8" s="146"/>
      <c r="D8" s="146"/>
      <c r="E8" s="146"/>
      <c r="F8" s="146"/>
      <c r="G8" s="146"/>
      <c r="H8" s="146"/>
      <c r="I8" s="146"/>
      <c r="J8" s="144"/>
      <c r="K8" s="6"/>
      <c r="L8" s="226" t="s">
        <v>8</v>
      </c>
      <c r="M8" s="227"/>
      <c r="N8" s="228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2:25" ht="31.5" customHeight="1">
      <c r="B9" s="7" t="s">
        <v>9</v>
      </c>
      <c r="C9" s="8" t="s">
        <v>72</v>
      </c>
      <c r="D9" s="9" t="s">
        <v>73</v>
      </c>
      <c r="E9" s="248" t="s">
        <v>12</v>
      </c>
      <c r="F9" s="144"/>
      <c r="G9" s="9" t="s">
        <v>74</v>
      </c>
      <c r="H9" s="9" t="s">
        <v>13</v>
      </c>
      <c r="I9" s="9" t="s">
        <v>75</v>
      </c>
      <c r="J9" s="9" t="s">
        <v>13</v>
      </c>
      <c r="K9" s="10"/>
      <c r="L9" s="221"/>
      <c r="M9" s="144"/>
      <c r="N9" s="35" t="s">
        <v>13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2:25" ht="31.5" customHeight="1">
      <c r="B10" s="169">
        <v>1</v>
      </c>
      <c r="C10" s="163" t="s">
        <v>76</v>
      </c>
      <c r="D10" s="164">
        <v>450</v>
      </c>
      <c r="E10" s="249"/>
      <c r="F10" s="128"/>
      <c r="G10" s="155">
        <v>2</v>
      </c>
      <c r="H10" s="164">
        <f>G10*D10</f>
        <v>900</v>
      </c>
      <c r="I10" s="165"/>
      <c r="J10" s="164">
        <f>(H10*E10)+H10</f>
        <v>900</v>
      </c>
      <c r="K10" s="12"/>
      <c r="L10" s="232" t="s">
        <v>77</v>
      </c>
      <c r="M10" s="128"/>
      <c r="N10" s="233">
        <f>J14</f>
        <v>1350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2:25" ht="31.5" customHeight="1">
      <c r="B11" s="148"/>
      <c r="C11" s="148"/>
      <c r="D11" s="148"/>
      <c r="E11" s="129"/>
      <c r="F11" s="130"/>
      <c r="G11" s="148"/>
      <c r="H11" s="148"/>
      <c r="I11" s="148"/>
      <c r="J11" s="148"/>
      <c r="K11" s="12"/>
      <c r="L11" s="150"/>
      <c r="M11" s="151"/>
      <c r="N11" s="24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2:25" ht="31.5" customHeight="1">
      <c r="B12" s="171">
        <v>2</v>
      </c>
      <c r="C12" s="171"/>
      <c r="D12" s="172">
        <v>450</v>
      </c>
      <c r="E12" s="247"/>
      <c r="F12" s="128"/>
      <c r="G12" s="152">
        <v>1</v>
      </c>
      <c r="H12" s="172">
        <f>G12*D12</f>
        <v>450</v>
      </c>
      <c r="I12" s="173"/>
      <c r="J12" s="172">
        <f>(H12*E12)+H12</f>
        <v>450</v>
      </c>
      <c r="K12" s="12"/>
      <c r="L12" s="150"/>
      <c r="M12" s="151"/>
      <c r="N12" s="246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2:25" ht="31.5" customHeight="1">
      <c r="B13" s="148"/>
      <c r="C13" s="148"/>
      <c r="D13" s="148"/>
      <c r="E13" s="129"/>
      <c r="F13" s="130"/>
      <c r="G13" s="148"/>
      <c r="H13" s="148"/>
      <c r="I13" s="148"/>
      <c r="J13" s="148"/>
      <c r="K13" s="12"/>
      <c r="L13" s="129"/>
      <c r="M13" s="130"/>
      <c r="N13" s="148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2:25" ht="31.5" customHeight="1">
      <c r="B14" s="174" t="s">
        <v>59</v>
      </c>
      <c r="C14" s="146"/>
      <c r="D14" s="146"/>
      <c r="E14" s="146"/>
      <c r="F14" s="146"/>
      <c r="G14" s="146"/>
      <c r="H14" s="144"/>
      <c r="I14" s="42"/>
      <c r="J14" s="36">
        <f>SUM(J10:J13)</f>
        <v>1350</v>
      </c>
      <c r="K14" s="13"/>
      <c r="L14" s="207" t="s">
        <v>25</v>
      </c>
      <c r="M14" s="144"/>
      <c r="N14" s="37">
        <f>SUM(N10:N13)</f>
        <v>1350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2:25" ht="31.5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2:25" ht="31.5" customHeight="1">
      <c r="B16" s="143" t="s">
        <v>26</v>
      </c>
      <c r="C16" s="146"/>
      <c r="D16" s="144"/>
      <c r="E16" s="17" t="s">
        <v>9</v>
      </c>
      <c r="F16" s="143" t="s">
        <v>27</v>
      </c>
      <c r="G16" s="146"/>
      <c r="H16" s="146"/>
      <c r="I16" s="146"/>
      <c r="J16" s="144"/>
      <c r="K16" s="6"/>
      <c r="L16" s="226" t="s">
        <v>28</v>
      </c>
      <c r="M16" s="227"/>
      <c r="N16" s="228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2:25" ht="31.5" customHeight="1">
      <c r="B17" s="212" t="s">
        <v>51</v>
      </c>
      <c r="C17" s="140"/>
      <c r="D17" s="128"/>
      <c r="E17" s="147">
        <v>0</v>
      </c>
      <c r="F17" s="217" t="s">
        <v>61</v>
      </c>
      <c r="G17" s="140"/>
      <c r="H17" s="140"/>
      <c r="I17" s="140"/>
      <c r="J17" s="128"/>
      <c r="K17" s="19"/>
      <c r="L17" s="229"/>
      <c r="M17" s="230"/>
      <c r="N17" s="19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2:25" ht="31.5" customHeight="1">
      <c r="B18" s="129"/>
      <c r="C18" s="141"/>
      <c r="D18" s="130"/>
      <c r="E18" s="148"/>
      <c r="F18" s="150"/>
      <c r="G18" s="178"/>
      <c r="H18" s="178"/>
      <c r="I18" s="178"/>
      <c r="J18" s="151"/>
      <c r="K18" s="19"/>
      <c r="L18" s="187"/>
      <c r="M18" s="231"/>
      <c r="N18" s="19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2:25" ht="31.5" customHeight="1">
      <c r="B19" s="210" t="s">
        <v>78</v>
      </c>
      <c r="C19" s="140"/>
      <c r="D19" s="128"/>
      <c r="E19" s="153">
        <v>0</v>
      </c>
      <c r="F19" s="150"/>
      <c r="G19" s="178"/>
      <c r="H19" s="178"/>
      <c r="I19" s="178"/>
      <c r="J19" s="151"/>
      <c r="K19" s="19"/>
      <c r="L19" s="237"/>
      <c r="M19" s="230"/>
      <c r="N19" s="19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2:25" ht="31.5" customHeight="1">
      <c r="B20" s="129"/>
      <c r="C20" s="141"/>
      <c r="D20" s="130"/>
      <c r="E20" s="148"/>
      <c r="F20" s="129"/>
      <c r="G20" s="141"/>
      <c r="H20" s="141"/>
      <c r="I20" s="141"/>
      <c r="J20" s="130"/>
      <c r="K20" s="19"/>
      <c r="L20" s="187"/>
      <c r="M20" s="231"/>
      <c r="N20" s="199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2:25" ht="31.5" customHeight="1">
      <c r="B21" s="212" t="s">
        <v>35</v>
      </c>
      <c r="C21" s="140"/>
      <c r="D21" s="128"/>
      <c r="E21" s="147">
        <v>0</v>
      </c>
      <c r="F21" s="214" t="s">
        <v>65</v>
      </c>
      <c r="G21" s="140"/>
      <c r="H21" s="140"/>
      <c r="I21" s="140"/>
      <c r="J21" s="128"/>
      <c r="K21" s="19"/>
      <c r="L21" s="238"/>
      <c r="M21" s="230"/>
      <c r="N21" s="19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2:25" ht="31.5" customHeight="1">
      <c r="B22" s="129"/>
      <c r="C22" s="141"/>
      <c r="D22" s="130"/>
      <c r="E22" s="148"/>
      <c r="F22" s="150"/>
      <c r="G22" s="178"/>
      <c r="H22" s="178"/>
      <c r="I22" s="178"/>
      <c r="J22" s="151"/>
      <c r="K22" s="19"/>
      <c r="L22" s="187"/>
      <c r="M22" s="231"/>
      <c r="N22" s="199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2:25" ht="31.5" customHeight="1">
      <c r="B23" s="210" t="s">
        <v>38</v>
      </c>
      <c r="C23" s="140"/>
      <c r="D23" s="128"/>
      <c r="E23" s="153">
        <v>0</v>
      </c>
      <c r="F23" s="150"/>
      <c r="G23" s="178"/>
      <c r="H23" s="178"/>
      <c r="I23" s="178"/>
      <c r="J23" s="151"/>
      <c r="K23" s="19"/>
      <c r="L23" s="239"/>
      <c r="M23" s="230"/>
      <c r="N23" s="19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2:25" ht="31.5" customHeight="1">
      <c r="B24" s="129"/>
      <c r="C24" s="141"/>
      <c r="D24" s="130"/>
      <c r="E24" s="148"/>
      <c r="F24" s="129"/>
      <c r="G24" s="141"/>
      <c r="H24" s="141"/>
      <c r="I24" s="141"/>
      <c r="J24" s="130"/>
      <c r="K24" s="39"/>
      <c r="L24" s="187"/>
      <c r="M24" s="231"/>
      <c r="N24" s="199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2:25" ht="31.5" customHeight="1">
      <c r="B25" s="212" t="s">
        <v>39</v>
      </c>
      <c r="C25" s="140"/>
      <c r="D25" s="128"/>
      <c r="E25" s="152">
        <v>0</v>
      </c>
      <c r="F25" s="214" t="s">
        <v>70</v>
      </c>
      <c r="G25" s="140"/>
      <c r="H25" s="140"/>
      <c r="I25" s="140"/>
      <c r="J25" s="128"/>
      <c r="K25" s="39"/>
      <c r="L25" s="238"/>
      <c r="M25" s="230"/>
      <c r="N25" s="19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2:25" ht="31.5" customHeight="1">
      <c r="B26" s="129"/>
      <c r="C26" s="141"/>
      <c r="D26" s="130"/>
      <c r="E26" s="148"/>
      <c r="F26" s="129"/>
      <c r="G26" s="141"/>
      <c r="H26" s="141"/>
      <c r="I26" s="141"/>
      <c r="J26" s="130"/>
      <c r="K26" s="39"/>
      <c r="L26" s="129"/>
      <c r="M26" s="141"/>
      <c r="N26" s="130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2:25" ht="31.5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2:25" ht="31.5" customHeight="1"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2:25" ht="15.7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2:25" ht="15.7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2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2:25" ht="15.7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2:25" ht="15.7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2:25" ht="15.7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2:25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2:25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2:25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2:25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2:25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2:25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2:25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2:25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2:25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2:25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2:25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2:25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2:25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2:25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2:25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2:25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2:25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25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2:25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2:25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2:25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2:25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2:25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2:25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25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2:25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2:25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2:25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2:25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2:25" ht="12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2:25" ht="12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2:25" ht="12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2:25" ht="12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25" ht="12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2:25" ht="12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2:25" ht="12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2:25" ht="12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2:25" ht="12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2:25" ht="12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2:25" ht="12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2:25" ht="12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2:25" ht="12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2:25" ht="12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2:25" ht="12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2:25" ht="12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2:25" ht="12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2:25" ht="12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2:25" ht="12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2:25" ht="12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2:25" ht="12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2:25" ht="12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2:25" ht="12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2:25" ht="12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25" ht="12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25" ht="12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25" ht="12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ht="12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ht="12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ht="12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ht="12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2:25" ht="12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2:25" ht="12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2:25" ht="12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2:25" ht="12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2:25" ht="12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2:25" ht="12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2:25" ht="12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2:25" ht="12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2:25" ht="12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2:25" ht="12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2:25" ht="12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ht="12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ht="12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ht="12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ht="12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ht="12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ht="12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ht="12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2:25" ht="12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2:25" ht="12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ht="12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ht="12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ht="12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ht="12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ht="12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ht="12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ht="12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2:25" ht="12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2:25" ht="12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2:25" ht="12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2:25" ht="12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2:25" ht="12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2:25" ht="12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2:25" ht="12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2:25" ht="12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2:25" ht="12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2:25" ht="12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2:25" ht="12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ht="12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ht="12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ht="12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ht="12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ht="12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ht="12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ht="12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2:25" ht="12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2:25" ht="12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2:25" ht="12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2:25" ht="12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2:25" ht="12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2:25" ht="12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2:25" ht="12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2:25" ht="12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2:25" ht="12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2:25" ht="12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2:25" ht="12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2:25" ht="12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2:25" ht="12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2:25" ht="12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2:25" ht="12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2:25" ht="12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2:25" ht="12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2:25" ht="12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2:25" ht="12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2:25" ht="12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2:25" ht="12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2:25" ht="12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2:25" ht="12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2:25" ht="12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2:25" ht="12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2:25" ht="12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2:25" ht="12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2:25" ht="12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2:25" ht="12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2:25" ht="12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2:25" ht="12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2:25" ht="12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2:25" ht="12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2:25" ht="12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2:25" ht="12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2:25" ht="12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2:25" ht="12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2:25" ht="12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2:25" ht="12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2:25" ht="12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2:25" ht="12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2:25" ht="12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2:25" ht="12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2:25" ht="12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2:25" ht="12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2:25" ht="12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2:25" ht="12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2:25" ht="12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2:25" ht="12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2:25" ht="12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2:25" ht="12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2:25" ht="12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2:25" ht="12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2:25" ht="12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2:25" ht="12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2:25" ht="12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2:25" ht="12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2:25" ht="12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2:25" ht="12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2:25" ht="12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2:25" ht="12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2:25" ht="12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2:25" ht="12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2:25" ht="12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2:25" ht="12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2:25" ht="12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2:25" ht="12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2:25" ht="12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2:25" ht="12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2:25" ht="12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2:25" ht="12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2:25" ht="12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2:25" ht="12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2:25" ht="12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2:25" ht="12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2:25" ht="12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2:25" ht="12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2:25" ht="12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2:25" ht="12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2:25" ht="12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2:25" ht="12.75" customHeight="1"/>
    <row r="227" spans="2:25" ht="12.75" customHeight="1"/>
    <row r="228" spans="2:25" ht="12.75" customHeight="1"/>
    <row r="229" spans="2:25" ht="12.75" customHeight="1"/>
    <row r="230" spans="2:25" ht="12.75" customHeight="1"/>
    <row r="231" spans="2:25" ht="12.75" customHeight="1"/>
    <row r="232" spans="2:25" ht="12.75" customHeight="1"/>
    <row r="233" spans="2:25" ht="12.75" customHeight="1"/>
    <row r="234" spans="2:25" ht="12.75" customHeight="1"/>
    <row r="235" spans="2:25" ht="12.75" customHeight="1"/>
    <row r="236" spans="2:25" ht="12.75" customHeight="1"/>
    <row r="237" spans="2:25" ht="12.75" customHeight="1"/>
    <row r="238" spans="2:25" ht="12.75" customHeight="1"/>
    <row r="239" spans="2:25" ht="12.75" customHeight="1"/>
    <row r="240" spans="2:25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0">
    <mergeCell ref="B3:G3"/>
    <mergeCell ref="H3:N3"/>
    <mergeCell ref="B6:C6"/>
    <mergeCell ref="D6:E6"/>
    <mergeCell ref="O6:P6"/>
    <mergeCell ref="B8:J8"/>
    <mergeCell ref="E9:F9"/>
    <mergeCell ref="C10:C11"/>
    <mergeCell ref="D10:D11"/>
    <mergeCell ref="E10:F11"/>
    <mergeCell ref="G10:G11"/>
    <mergeCell ref="H10:H11"/>
    <mergeCell ref="I10:I11"/>
    <mergeCell ref="J10:J11"/>
    <mergeCell ref="I12:I13"/>
    <mergeCell ref="J12:J13"/>
    <mergeCell ref="F16:J16"/>
    <mergeCell ref="F17:J20"/>
    <mergeCell ref="F21:J24"/>
    <mergeCell ref="F25:J26"/>
    <mergeCell ref="B10:B11"/>
    <mergeCell ref="B12:B13"/>
    <mergeCell ref="C12:C13"/>
    <mergeCell ref="E12:F13"/>
    <mergeCell ref="G12:G13"/>
    <mergeCell ref="H12:H13"/>
    <mergeCell ref="B14:H14"/>
    <mergeCell ref="B21:D22"/>
    <mergeCell ref="B23:D24"/>
    <mergeCell ref="E23:E24"/>
    <mergeCell ref="B25:D26"/>
    <mergeCell ref="E25:E26"/>
    <mergeCell ref="D12:D13"/>
    <mergeCell ref="B16:D16"/>
    <mergeCell ref="B17:D18"/>
    <mergeCell ref="L23:N24"/>
    <mergeCell ref="L25:N26"/>
    <mergeCell ref="L8:N8"/>
    <mergeCell ref="L9:M9"/>
    <mergeCell ref="L10:M13"/>
    <mergeCell ref="N10:N13"/>
    <mergeCell ref="L14:M14"/>
    <mergeCell ref="L16:N16"/>
    <mergeCell ref="L17:N18"/>
    <mergeCell ref="E17:E18"/>
    <mergeCell ref="B19:D20"/>
    <mergeCell ref="E19:E20"/>
    <mergeCell ref="E21:E22"/>
    <mergeCell ref="L19:N20"/>
    <mergeCell ref="L21:N2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B1:AF1000"/>
  <sheetViews>
    <sheetView workbookViewId="0"/>
  </sheetViews>
  <sheetFormatPr defaultColWidth="12.5703125" defaultRowHeight="15" customHeight="1"/>
  <cols>
    <col min="1" max="1" width="12.5703125" customWidth="1"/>
    <col min="2" max="2" width="10.85546875" customWidth="1"/>
    <col min="3" max="3" width="41" customWidth="1"/>
    <col min="4" max="11" width="25.85546875" customWidth="1"/>
    <col min="12" max="12" width="5.85546875" customWidth="1"/>
    <col min="13" max="17" width="25.85546875" customWidth="1"/>
    <col min="18" max="18" width="5.85546875" customWidth="1"/>
    <col min="19" max="21" width="25.85546875" customWidth="1"/>
  </cols>
  <sheetData>
    <row r="1" spans="2:32" ht="15.7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2:32" ht="15.7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2:32" ht="54" customHeight="1">
      <c r="B3" s="177" t="s">
        <v>0</v>
      </c>
      <c r="C3" s="178"/>
      <c r="D3" s="178"/>
      <c r="E3" s="178"/>
      <c r="F3" s="178"/>
      <c r="G3" s="178"/>
      <c r="H3" s="178"/>
      <c r="I3" s="178"/>
      <c r="J3" s="178"/>
      <c r="K3" s="178"/>
      <c r="L3" s="223" t="s">
        <v>41</v>
      </c>
      <c r="M3" s="178"/>
      <c r="N3" s="178"/>
      <c r="O3" s="178"/>
      <c r="P3" s="178"/>
      <c r="Q3" s="178"/>
      <c r="R3" s="178"/>
      <c r="S3" s="178"/>
      <c r="T3" s="178"/>
      <c r="U3" s="178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2:32" ht="1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2:32" ht="15.75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2:32" ht="31.5" customHeight="1">
      <c r="B6" s="267" t="s">
        <v>2</v>
      </c>
      <c r="C6" s="181"/>
      <c r="D6" s="268"/>
      <c r="E6" s="144"/>
      <c r="F6" s="33"/>
      <c r="G6" s="33"/>
      <c r="H6" s="33"/>
      <c r="I6" s="26"/>
      <c r="J6" s="27"/>
      <c r="K6" s="3"/>
      <c r="L6" s="3"/>
      <c r="M6" s="267" t="s">
        <v>3</v>
      </c>
      <c r="N6" s="181"/>
      <c r="O6" s="269" t="s">
        <v>42</v>
      </c>
      <c r="P6" s="144"/>
      <c r="Q6" s="3"/>
      <c r="R6" s="3"/>
      <c r="S6" s="3"/>
      <c r="T6" s="43" t="s">
        <v>5</v>
      </c>
      <c r="U6" s="44">
        <f ca="1">TODAY()</f>
        <v>45989</v>
      </c>
      <c r="V6" s="184"/>
      <c r="W6" s="178"/>
      <c r="X6" s="1"/>
      <c r="Y6" s="1"/>
      <c r="Z6" s="1"/>
      <c r="AA6" s="1"/>
      <c r="AB6" s="1"/>
      <c r="AC6" s="1"/>
      <c r="AD6" s="1"/>
      <c r="AE6" s="1"/>
      <c r="AF6" s="1"/>
    </row>
    <row r="7" spans="2:32" ht="31.5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2:32" ht="31.5" customHeight="1">
      <c r="B8" s="264" t="s">
        <v>79</v>
      </c>
      <c r="C8" s="146"/>
      <c r="D8" s="146"/>
      <c r="E8" s="146"/>
      <c r="F8" s="146"/>
      <c r="G8" s="146"/>
      <c r="H8" s="146"/>
      <c r="I8" s="146"/>
      <c r="J8" s="146"/>
      <c r="K8" s="144"/>
      <c r="L8" s="6"/>
      <c r="M8" s="157" t="s">
        <v>7</v>
      </c>
      <c r="N8" s="146"/>
      <c r="O8" s="146"/>
      <c r="P8" s="146"/>
      <c r="Q8" s="144"/>
      <c r="R8" s="6"/>
      <c r="S8" s="226" t="s">
        <v>8</v>
      </c>
      <c r="T8" s="227"/>
      <c r="U8" s="228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2:32" ht="31.5" customHeight="1">
      <c r="B9" s="7" t="s">
        <v>9</v>
      </c>
      <c r="C9" s="45" t="s">
        <v>10</v>
      </c>
      <c r="D9" s="9" t="s">
        <v>51</v>
      </c>
      <c r="E9" s="9" t="s">
        <v>80</v>
      </c>
      <c r="F9" s="9" t="s">
        <v>54</v>
      </c>
      <c r="G9" s="9" t="s">
        <v>53</v>
      </c>
      <c r="H9" s="9" t="s">
        <v>67</v>
      </c>
      <c r="I9" s="9" t="s">
        <v>81</v>
      </c>
      <c r="J9" s="9" t="s">
        <v>12</v>
      </c>
      <c r="K9" s="9" t="s">
        <v>13</v>
      </c>
      <c r="L9" s="10"/>
      <c r="M9" s="9" t="s">
        <v>69</v>
      </c>
      <c r="N9" s="9" t="s">
        <v>15</v>
      </c>
      <c r="O9" s="9" t="s">
        <v>16</v>
      </c>
      <c r="P9" s="9" t="s">
        <v>17</v>
      </c>
      <c r="Q9" s="9" t="s">
        <v>13</v>
      </c>
      <c r="R9" s="10"/>
      <c r="S9" s="46"/>
      <c r="T9" s="47"/>
      <c r="U9" s="48" t="s">
        <v>13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2:32" ht="31.5" customHeight="1">
      <c r="B10" s="169">
        <v>1</v>
      </c>
      <c r="C10" s="265" t="s">
        <v>82</v>
      </c>
      <c r="D10" s="164">
        <v>190</v>
      </c>
      <c r="E10" s="164">
        <f>16*190</f>
        <v>3040</v>
      </c>
      <c r="F10" s="164">
        <f>90*18</f>
        <v>1620</v>
      </c>
      <c r="G10" s="164">
        <v>190</v>
      </c>
      <c r="H10" s="164">
        <f>190*2</f>
        <v>380</v>
      </c>
      <c r="I10" s="164">
        <f>F10</f>
        <v>1620</v>
      </c>
      <c r="J10" s="165"/>
      <c r="K10" s="164">
        <f>(I10*J10)+I10+E10+D10+F10</f>
        <v>6470</v>
      </c>
      <c r="L10" s="12"/>
      <c r="M10" s="164">
        <v>1330</v>
      </c>
      <c r="N10" s="164">
        <v>1330</v>
      </c>
      <c r="O10" s="164">
        <v>1330</v>
      </c>
      <c r="P10" s="164">
        <v>760</v>
      </c>
      <c r="Q10" s="164">
        <f>SUM(M10:P10)</f>
        <v>4750</v>
      </c>
      <c r="R10" s="12"/>
      <c r="S10" s="232" t="s">
        <v>59</v>
      </c>
      <c r="T10" s="128"/>
      <c r="U10" s="266">
        <f>K14</f>
        <v>7412.5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2:32" ht="31.5" customHeight="1"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2"/>
      <c r="M11" s="148"/>
      <c r="N11" s="148"/>
      <c r="O11" s="148"/>
      <c r="P11" s="148"/>
      <c r="Q11" s="148"/>
      <c r="R11" s="12"/>
      <c r="S11" s="129"/>
      <c r="T11" s="130"/>
      <c r="U11" s="14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2:32" ht="31.5" customHeight="1">
      <c r="B12" s="171">
        <v>2</v>
      </c>
      <c r="C12" s="258"/>
      <c r="D12" s="172">
        <v>190</v>
      </c>
      <c r="E12" s="172">
        <v>190</v>
      </c>
      <c r="F12" s="172">
        <f>12*90</f>
        <v>1080</v>
      </c>
      <c r="G12" s="172" t="s">
        <v>58</v>
      </c>
      <c r="H12" s="172" t="s">
        <v>58</v>
      </c>
      <c r="I12" s="172">
        <v>450</v>
      </c>
      <c r="J12" s="173">
        <v>0.25</v>
      </c>
      <c r="K12" s="172">
        <f>(I12*J12)+I12+E12+D12</f>
        <v>942.5</v>
      </c>
      <c r="L12" s="12"/>
      <c r="M12" s="152"/>
      <c r="N12" s="152"/>
      <c r="O12" s="172"/>
      <c r="P12" s="152"/>
      <c r="Q12" s="172">
        <f>SUM(M12:P12)</f>
        <v>0</v>
      </c>
      <c r="R12" s="12"/>
      <c r="S12" s="259" t="s">
        <v>21</v>
      </c>
      <c r="T12" s="128"/>
      <c r="U12" s="234">
        <f>Q14</f>
        <v>4750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2:32" ht="31.5" customHeight="1"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2"/>
      <c r="M13" s="148"/>
      <c r="N13" s="148"/>
      <c r="O13" s="148"/>
      <c r="P13" s="148"/>
      <c r="Q13" s="148"/>
      <c r="R13" s="12"/>
      <c r="S13" s="129"/>
      <c r="T13" s="130"/>
      <c r="U13" s="148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2:32" ht="31.5" customHeight="1">
      <c r="B14" s="263" t="s">
        <v>83</v>
      </c>
      <c r="C14" s="146"/>
      <c r="D14" s="146"/>
      <c r="E14" s="146"/>
      <c r="F14" s="146"/>
      <c r="G14" s="146"/>
      <c r="H14" s="146"/>
      <c r="I14" s="146"/>
      <c r="J14" s="144"/>
      <c r="K14" s="29">
        <f>SUM(K10:K13)</f>
        <v>7412.5</v>
      </c>
      <c r="L14" s="13"/>
      <c r="M14" s="168" t="s">
        <v>21</v>
      </c>
      <c r="N14" s="146"/>
      <c r="O14" s="146"/>
      <c r="P14" s="144"/>
      <c r="Q14" s="30">
        <f>SUM(Q10:Q13)</f>
        <v>4750</v>
      </c>
      <c r="R14" s="13"/>
      <c r="S14" s="260" t="s">
        <v>25</v>
      </c>
      <c r="T14" s="141"/>
      <c r="U14" s="49">
        <f>SUM(U10:U13)</f>
        <v>12162.5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2:32" ht="31.5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2:32" ht="31.5" customHeight="1">
      <c r="B16" s="257" t="s">
        <v>26</v>
      </c>
      <c r="C16" s="146"/>
      <c r="D16" s="144"/>
      <c r="E16" s="50" t="s">
        <v>9</v>
      </c>
      <c r="F16" s="257" t="s">
        <v>84</v>
      </c>
      <c r="G16" s="144"/>
      <c r="H16" s="257" t="s">
        <v>27</v>
      </c>
      <c r="I16" s="146"/>
      <c r="J16" s="146"/>
      <c r="K16" s="144"/>
      <c r="L16" s="51"/>
      <c r="M16" s="261" t="s">
        <v>26</v>
      </c>
      <c r="N16" s="144"/>
      <c r="O16" s="52" t="s">
        <v>9</v>
      </c>
      <c r="P16" s="261" t="s">
        <v>27</v>
      </c>
      <c r="Q16" s="144"/>
      <c r="R16" s="51"/>
      <c r="S16" s="262" t="s">
        <v>28</v>
      </c>
      <c r="T16" s="146"/>
      <c r="U16" s="14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2:32" ht="31.5" customHeight="1">
      <c r="B17" s="212" t="s">
        <v>60</v>
      </c>
      <c r="C17" s="140"/>
      <c r="D17" s="128"/>
      <c r="E17" s="213">
        <f>COUNT(B10:B13)</f>
        <v>2</v>
      </c>
      <c r="F17" s="254" t="s">
        <v>85</v>
      </c>
      <c r="G17" s="128"/>
      <c r="H17" s="217" t="s">
        <v>61</v>
      </c>
      <c r="I17" s="140"/>
      <c r="J17" s="140"/>
      <c r="K17" s="128"/>
      <c r="L17" s="19"/>
      <c r="M17" s="156" t="s">
        <v>69</v>
      </c>
      <c r="N17" s="128"/>
      <c r="O17" s="171">
        <f>COUNT(M10:M13)</f>
        <v>1</v>
      </c>
      <c r="P17" s="149" t="s">
        <v>32</v>
      </c>
      <c r="Q17" s="128"/>
      <c r="R17" s="19"/>
      <c r="S17" s="252"/>
      <c r="T17" s="140"/>
      <c r="U17" s="12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2:32" ht="31.5" customHeight="1">
      <c r="B18" s="129"/>
      <c r="C18" s="141"/>
      <c r="D18" s="130"/>
      <c r="E18" s="148"/>
      <c r="F18" s="129"/>
      <c r="G18" s="130"/>
      <c r="H18" s="150"/>
      <c r="I18" s="178"/>
      <c r="J18" s="178"/>
      <c r="K18" s="151"/>
      <c r="L18" s="19"/>
      <c r="M18" s="129"/>
      <c r="N18" s="130"/>
      <c r="O18" s="148"/>
      <c r="P18" s="150"/>
      <c r="Q18" s="151"/>
      <c r="R18" s="19"/>
      <c r="S18" s="129"/>
      <c r="T18" s="141"/>
      <c r="U18" s="130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2:32" ht="31.5" customHeight="1">
      <c r="B19" s="210" t="s">
        <v>52</v>
      </c>
      <c r="C19" s="140"/>
      <c r="D19" s="128"/>
      <c r="E19" s="169">
        <f>COUNT(B10:B13)</f>
        <v>2</v>
      </c>
      <c r="F19" s="255" t="s">
        <v>86</v>
      </c>
      <c r="G19" s="128"/>
      <c r="H19" s="150"/>
      <c r="I19" s="178"/>
      <c r="J19" s="178"/>
      <c r="K19" s="151"/>
      <c r="L19" s="19"/>
      <c r="M19" s="154" t="s">
        <v>15</v>
      </c>
      <c r="N19" s="128"/>
      <c r="O19" s="169">
        <f>COUNT(N10:N13)</f>
        <v>1</v>
      </c>
      <c r="P19" s="150"/>
      <c r="Q19" s="151"/>
      <c r="R19" s="19"/>
      <c r="S19" s="253"/>
      <c r="T19" s="140"/>
      <c r="U19" s="128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2:32" ht="31.5" customHeight="1">
      <c r="B20" s="129"/>
      <c r="C20" s="141"/>
      <c r="D20" s="130"/>
      <c r="E20" s="148"/>
      <c r="F20" s="129"/>
      <c r="G20" s="130"/>
      <c r="H20" s="129"/>
      <c r="I20" s="141"/>
      <c r="J20" s="141"/>
      <c r="K20" s="130"/>
      <c r="L20" s="19"/>
      <c r="M20" s="129"/>
      <c r="N20" s="130"/>
      <c r="O20" s="148"/>
      <c r="P20" s="129"/>
      <c r="Q20" s="130"/>
      <c r="R20" s="19"/>
      <c r="S20" s="129"/>
      <c r="T20" s="141"/>
      <c r="U20" s="130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2:32" ht="31.5" customHeight="1">
      <c r="B21" s="212" t="s">
        <v>35</v>
      </c>
      <c r="C21" s="140"/>
      <c r="D21" s="128"/>
      <c r="E21" s="213">
        <v>0</v>
      </c>
      <c r="F21" s="256" t="s">
        <v>87</v>
      </c>
      <c r="G21" s="128"/>
      <c r="H21" s="214" t="s">
        <v>88</v>
      </c>
      <c r="I21" s="140"/>
      <c r="J21" s="140"/>
      <c r="K21" s="128"/>
      <c r="L21" s="19"/>
      <c r="M21" s="156" t="s">
        <v>16</v>
      </c>
      <c r="N21" s="128"/>
      <c r="O21" s="171">
        <f>COUNT(O10:O13)</f>
        <v>1</v>
      </c>
      <c r="P21" s="149" t="s">
        <v>37</v>
      </c>
      <c r="Q21" s="128"/>
      <c r="R21" s="19"/>
      <c r="S21" s="251"/>
      <c r="T21" s="140"/>
      <c r="U21" s="12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2:32" ht="31.5" customHeight="1">
      <c r="B22" s="129"/>
      <c r="C22" s="141"/>
      <c r="D22" s="130"/>
      <c r="E22" s="148"/>
      <c r="F22" s="129"/>
      <c r="G22" s="130"/>
      <c r="H22" s="150"/>
      <c r="I22" s="178"/>
      <c r="J22" s="178"/>
      <c r="K22" s="151"/>
      <c r="L22" s="19"/>
      <c r="M22" s="129"/>
      <c r="N22" s="130"/>
      <c r="O22" s="148"/>
      <c r="P22" s="150"/>
      <c r="Q22" s="151"/>
      <c r="R22" s="19"/>
      <c r="S22" s="129"/>
      <c r="T22" s="141"/>
      <c r="U22" s="130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2:32" ht="31.5" customHeight="1">
      <c r="B23" s="210" t="s">
        <v>89</v>
      </c>
      <c r="C23" s="140"/>
      <c r="D23" s="128"/>
      <c r="E23" s="169">
        <v>0</v>
      </c>
      <c r="F23" s="255" t="s">
        <v>90</v>
      </c>
      <c r="G23" s="128"/>
      <c r="H23" s="150"/>
      <c r="I23" s="178"/>
      <c r="J23" s="178"/>
      <c r="K23" s="151"/>
      <c r="L23" s="19"/>
      <c r="M23" s="154" t="s">
        <v>17</v>
      </c>
      <c r="N23" s="128"/>
      <c r="O23" s="163">
        <f>COUNT(P10:P13)</f>
        <v>1</v>
      </c>
      <c r="P23" s="150"/>
      <c r="Q23" s="151"/>
      <c r="R23" s="19"/>
      <c r="S23" s="250"/>
      <c r="T23" s="140"/>
      <c r="U23" s="12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2:32" ht="31.5" customHeight="1">
      <c r="B24" s="129"/>
      <c r="C24" s="141"/>
      <c r="D24" s="130"/>
      <c r="E24" s="148"/>
      <c r="F24" s="129"/>
      <c r="G24" s="130"/>
      <c r="H24" s="150"/>
      <c r="I24" s="178"/>
      <c r="J24" s="178"/>
      <c r="K24" s="151"/>
      <c r="L24" s="19"/>
      <c r="M24" s="129"/>
      <c r="N24" s="130"/>
      <c r="O24" s="148"/>
      <c r="P24" s="150"/>
      <c r="Q24" s="151"/>
      <c r="R24" s="19"/>
      <c r="S24" s="129"/>
      <c r="T24" s="141"/>
      <c r="U24" s="130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2:32" ht="31.5" customHeight="1">
      <c r="B25" s="212" t="s">
        <v>39</v>
      </c>
      <c r="C25" s="140"/>
      <c r="D25" s="128"/>
      <c r="E25" s="171">
        <f>COUNT(B10:B13)</f>
        <v>2</v>
      </c>
      <c r="F25" s="256" t="s">
        <v>91</v>
      </c>
      <c r="G25" s="128"/>
      <c r="H25" s="150"/>
      <c r="I25" s="178"/>
      <c r="J25" s="178"/>
      <c r="K25" s="151"/>
      <c r="L25" s="19"/>
      <c r="M25" s="156" t="s">
        <v>40</v>
      </c>
      <c r="N25" s="128"/>
      <c r="O25" s="171">
        <v>0</v>
      </c>
      <c r="P25" s="150"/>
      <c r="Q25" s="151"/>
      <c r="R25" s="19"/>
      <c r="S25" s="251"/>
      <c r="T25" s="140"/>
      <c r="U25" s="128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2:32" ht="31.5" customHeight="1">
      <c r="B26" s="129"/>
      <c r="C26" s="141"/>
      <c r="D26" s="130"/>
      <c r="E26" s="148"/>
      <c r="F26" s="129"/>
      <c r="G26" s="130"/>
      <c r="H26" s="129"/>
      <c r="I26" s="141"/>
      <c r="J26" s="141"/>
      <c r="K26" s="130"/>
      <c r="L26" s="19"/>
      <c r="M26" s="129"/>
      <c r="N26" s="130"/>
      <c r="O26" s="148"/>
      <c r="P26" s="129"/>
      <c r="Q26" s="130"/>
      <c r="R26" s="19"/>
      <c r="S26" s="129"/>
      <c r="T26" s="141"/>
      <c r="U26" s="130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2:32" ht="31.5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53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2:32" ht="15.7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2:32" ht="15.7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2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2:32" ht="15.7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2:32" ht="15.7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2:32" ht="15.7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2:32" ht="15.7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2:32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2:32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2:32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2:32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2:32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2:32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2:32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2:32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2:32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2:32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2:32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2:32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2:32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2:32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2:32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2:32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2:32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2:32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2:32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2:32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2:32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2:32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2:32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2:32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2:32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2:32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2:32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2:32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2:32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2:32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2:32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2:32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2:32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2:32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2:32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2:32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2:32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2:32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2:32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2:32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2:32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2:32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2:32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2:32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2:32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2:32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2:32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2:32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2:32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2:32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2:32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2:32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2:32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2:32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2:32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2:32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2:32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2:32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2:32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2:32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2:32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2:32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2:32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2:32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2:32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2:32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2:32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2:32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2:32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2:32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2:32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2:32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2:32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2:32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2:32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2:32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2:32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2:32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2:32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2:32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2:32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2:32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2:32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2:32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2:32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2:32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2:32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2:32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2:32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2:32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2:32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2:32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2:32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2:32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2:32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2:32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2:32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2:32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2:32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2:32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2:32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2:32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2:32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2:32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2:32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2:32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2:32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2:32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2:32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2:32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2:32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2:32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2:32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2:32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2:32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2:32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2:32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2:32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2:32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2:32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2:32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2:32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2:32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2:32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2:32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2:32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2:32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2:32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2:32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2:32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2:32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2:32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2:32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2:32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2:32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2:32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2:32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2:32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2:32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2:32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2:32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2:32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2:32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2:32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2:32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2:32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2:32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2:32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2:32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2:32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2:32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2:32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2:32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2:32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2:32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2:32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2:32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2:32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2:32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2:32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2:32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2:32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2:32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2:32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2:32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2:32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2:32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2:32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2:32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2:32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2:32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2:32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2:32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2:32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2:32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2:32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2:32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2:32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2:32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2:32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2:32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2:32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2:32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2:32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2:32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2:32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2:32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2:32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2:32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2:32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2:32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2:32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2:32" ht="15.75" customHeight="1"/>
    <row r="227" spans="2:32" ht="15.75" customHeight="1"/>
    <row r="228" spans="2:32" ht="15.75" customHeight="1"/>
    <row r="229" spans="2:32" ht="15.75" customHeight="1"/>
    <row r="230" spans="2:32" ht="15.75" customHeight="1"/>
    <row r="231" spans="2:32" ht="15.75" customHeight="1"/>
    <row r="232" spans="2:32" ht="15.75" customHeight="1"/>
    <row r="233" spans="2:32" ht="15.75" customHeight="1"/>
    <row r="234" spans="2:32" ht="15.75" customHeight="1"/>
    <row r="235" spans="2:32" ht="15.75" customHeight="1"/>
    <row r="236" spans="2:32" ht="15.75" customHeight="1"/>
    <row r="237" spans="2:32" ht="15.75" customHeight="1"/>
    <row r="238" spans="2:32" ht="15.75" customHeight="1"/>
    <row r="239" spans="2:32" ht="15.75" customHeight="1"/>
    <row r="240" spans="2:3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7">
    <mergeCell ref="B3:K3"/>
    <mergeCell ref="L3:U3"/>
    <mergeCell ref="B6:C6"/>
    <mergeCell ref="D6:E6"/>
    <mergeCell ref="M6:N6"/>
    <mergeCell ref="O6:P6"/>
    <mergeCell ref="V6:W6"/>
    <mergeCell ref="H10:H11"/>
    <mergeCell ref="I10:I11"/>
    <mergeCell ref="H12:H13"/>
    <mergeCell ref="I12:I13"/>
    <mergeCell ref="J10:J11"/>
    <mergeCell ref="K10:K11"/>
    <mergeCell ref="J12:J13"/>
    <mergeCell ref="K12:K13"/>
    <mergeCell ref="M10:M11"/>
    <mergeCell ref="N10:N11"/>
    <mergeCell ref="M12:M13"/>
    <mergeCell ref="N12:N13"/>
    <mergeCell ref="Q12:Q13"/>
    <mergeCell ref="Q10:Q11"/>
    <mergeCell ref="S10:T11"/>
    <mergeCell ref="B8:K8"/>
    <mergeCell ref="M8:Q8"/>
    <mergeCell ref="S8:U8"/>
    <mergeCell ref="B10:B11"/>
    <mergeCell ref="C10:C11"/>
    <mergeCell ref="D10:D11"/>
    <mergeCell ref="E10:E11"/>
    <mergeCell ref="U10:U11"/>
    <mergeCell ref="O10:O11"/>
    <mergeCell ref="P10:P11"/>
    <mergeCell ref="F10:F11"/>
    <mergeCell ref="G10:G11"/>
    <mergeCell ref="E21:E22"/>
    <mergeCell ref="F21:G22"/>
    <mergeCell ref="S12:T13"/>
    <mergeCell ref="U12:U13"/>
    <mergeCell ref="S14:T14"/>
    <mergeCell ref="M14:P14"/>
    <mergeCell ref="O12:O13"/>
    <mergeCell ref="P12:P13"/>
    <mergeCell ref="M16:N16"/>
    <mergeCell ref="P16:Q16"/>
    <mergeCell ref="S16:U16"/>
    <mergeCell ref="F12:F13"/>
    <mergeCell ref="G12:G13"/>
    <mergeCell ref="B14:J14"/>
    <mergeCell ref="B16:D16"/>
    <mergeCell ref="F16:G16"/>
    <mergeCell ref="H16:K16"/>
    <mergeCell ref="B12:B13"/>
    <mergeCell ref="C12:C13"/>
    <mergeCell ref="D12:D13"/>
    <mergeCell ref="E12:E13"/>
    <mergeCell ref="B25:D26"/>
    <mergeCell ref="E17:E18"/>
    <mergeCell ref="F17:G18"/>
    <mergeCell ref="H17:K20"/>
    <mergeCell ref="M17:N18"/>
    <mergeCell ref="H21:K26"/>
    <mergeCell ref="E23:E24"/>
    <mergeCell ref="F23:G24"/>
    <mergeCell ref="B17:D18"/>
    <mergeCell ref="B19:D20"/>
    <mergeCell ref="B21:D22"/>
    <mergeCell ref="B23:D24"/>
    <mergeCell ref="E25:E26"/>
    <mergeCell ref="F25:G26"/>
    <mergeCell ref="E19:E20"/>
    <mergeCell ref="F19:G20"/>
    <mergeCell ref="O17:O18"/>
    <mergeCell ref="P17:Q20"/>
    <mergeCell ref="S17:U18"/>
    <mergeCell ref="S19:U20"/>
    <mergeCell ref="S21:U22"/>
    <mergeCell ref="S23:U24"/>
    <mergeCell ref="S25:U26"/>
    <mergeCell ref="M25:N26"/>
    <mergeCell ref="O25:O26"/>
    <mergeCell ref="M19:N20"/>
    <mergeCell ref="O19:O20"/>
    <mergeCell ref="M21:N22"/>
    <mergeCell ref="O21:O22"/>
    <mergeCell ref="P21:Q26"/>
    <mergeCell ref="M23:N24"/>
    <mergeCell ref="O23:O24"/>
  </mergeCells>
  <printOptions horizontalCentered="1"/>
  <pageMargins left="0.25" right="0.25" top="0.75" bottom="0.75" header="0" footer="0"/>
  <pageSetup fitToHeight="0" pageOrder="overThenDown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2.5703125" defaultRowHeight="15" customHeight="1"/>
  <cols>
    <col min="1" max="1" width="14" customWidth="1"/>
    <col min="2" max="2" width="29.42578125" customWidth="1"/>
    <col min="3" max="3" width="17.5703125" customWidth="1"/>
    <col min="4" max="4" width="13" customWidth="1"/>
    <col min="5" max="8" width="15.85546875" customWidth="1"/>
    <col min="9" max="9" width="11.85546875" customWidth="1"/>
    <col min="10" max="13" width="15.85546875" customWidth="1"/>
    <col min="14" max="14" width="11.85546875" customWidth="1"/>
    <col min="15" max="17" width="15.85546875" customWidth="1"/>
    <col min="18" max="26" width="10.5703125" customWidth="1"/>
  </cols>
  <sheetData>
    <row r="1" spans="1:26" ht="13.5" customHeight="1">
      <c r="A1" s="54" t="s">
        <v>92</v>
      </c>
      <c r="B1" s="55"/>
      <c r="C1" s="54" t="s">
        <v>93</v>
      </c>
      <c r="D1" s="286"/>
      <c r="E1" s="141"/>
      <c r="F1" s="141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3.5" customHeight="1">
      <c r="A2" s="54" t="s">
        <v>5</v>
      </c>
      <c r="B2" s="57">
        <f ca="1">TODAY()</f>
        <v>45989</v>
      </c>
      <c r="C2" s="58"/>
      <c r="D2" s="58"/>
      <c r="E2" s="58"/>
      <c r="F2" s="58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3.5" customHeight="1">
      <c r="A3" s="59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13.5" customHeight="1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13.5" customHeight="1">
      <c r="A5" s="60" t="s">
        <v>94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13.5" customHeight="1">
      <c r="A6" s="56"/>
      <c r="B6" s="56"/>
      <c r="C6" s="56"/>
      <c r="D6" s="56"/>
      <c r="E6" s="287" t="s">
        <v>95</v>
      </c>
      <c r="F6" s="178"/>
      <c r="G6" s="56" t="s">
        <v>96</v>
      </c>
      <c r="H6" s="61"/>
      <c r="I6" s="61"/>
      <c r="J6" s="61"/>
      <c r="K6" s="61"/>
      <c r="L6" s="61"/>
      <c r="M6" s="61"/>
      <c r="N6" s="56"/>
      <c r="O6" s="61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3.5" customHeight="1">
      <c r="A7" s="59" t="s">
        <v>72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13.5" customHeight="1">
      <c r="A8" s="62" t="s">
        <v>97</v>
      </c>
      <c r="B8" s="62"/>
      <c r="C8" s="62"/>
      <c r="D8" s="62"/>
      <c r="E8" s="62"/>
      <c r="F8" s="62"/>
      <c r="G8" s="62"/>
      <c r="H8" s="63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spans="1:26" ht="13.5" customHeight="1">
      <c r="A9" s="64" t="s">
        <v>9</v>
      </c>
      <c r="B9" s="64" t="s">
        <v>98</v>
      </c>
      <c r="C9" s="64" t="s">
        <v>99</v>
      </c>
      <c r="D9" s="65"/>
      <c r="E9" s="66" t="s">
        <v>100</v>
      </c>
      <c r="F9" s="67" t="s">
        <v>101</v>
      </c>
      <c r="G9" s="67" t="s">
        <v>12</v>
      </c>
      <c r="H9" s="64" t="s">
        <v>13</v>
      </c>
      <c r="I9" s="68"/>
      <c r="J9" s="67" t="s">
        <v>102</v>
      </c>
      <c r="K9" s="67" t="s">
        <v>101</v>
      </c>
      <c r="L9" s="67" t="s">
        <v>12</v>
      </c>
      <c r="M9" s="67" t="s">
        <v>13</v>
      </c>
      <c r="N9" s="69"/>
      <c r="O9" s="67" t="s">
        <v>103</v>
      </c>
      <c r="P9" s="67" t="s">
        <v>104</v>
      </c>
      <c r="Q9" s="67" t="s">
        <v>105</v>
      </c>
      <c r="R9" s="69"/>
      <c r="S9" s="69"/>
      <c r="T9" s="69"/>
      <c r="U9" s="69"/>
      <c r="V9" s="69"/>
      <c r="W9" s="69"/>
      <c r="X9" s="69"/>
      <c r="Y9" s="69"/>
      <c r="Z9" s="69"/>
    </row>
    <row r="10" spans="1:26" ht="18" customHeight="1">
      <c r="A10" s="70">
        <v>1</v>
      </c>
      <c r="B10" s="70" t="s">
        <v>106</v>
      </c>
      <c r="C10" s="71">
        <v>950</v>
      </c>
      <c r="D10" s="72"/>
      <c r="E10" s="277">
        <v>70</v>
      </c>
      <c r="F10" s="73">
        <v>5</v>
      </c>
      <c r="G10" s="74">
        <v>0.5</v>
      </c>
      <c r="H10" s="75">
        <v>525</v>
      </c>
      <c r="I10" s="76"/>
      <c r="J10" s="277">
        <v>70</v>
      </c>
      <c r="K10" s="70">
        <v>5</v>
      </c>
      <c r="L10" s="77">
        <v>0.5</v>
      </c>
      <c r="M10" s="75">
        <v>525</v>
      </c>
      <c r="N10" s="56"/>
      <c r="O10" s="277">
        <v>680</v>
      </c>
      <c r="P10" s="74">
        <v>0.5</v>
      </c>
      <c r="Q10" s="78">
        <f>SUM(O10*P10)+O10</f>
        <v>1020</v>
      </c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8" customHeight="1">
      <c r="A11" s="79">
        <v>2</v>
      </c>
      <c r="B11" s="79" t="s">
        <v>76</v>
      </c>
      <c r="C11" s="80">
        <v>950</v>
      </c>
      <c r="D11" s="72"/>
      <c r="E11" s="148"/>
      <c r="F11" s="79">
        <v>5</v>
      </c>
      <c r="G11" s="81">
        <v>0.25</v>
      </c>
      <c r="H11" s="82">
        <f>(E10*G11)+E10*F11</f>
        <v>367.5</v>
      </c>
      <c r="I11" s="76"/>
      <c r="J11" s="148"/>
      <c r="K11" s="79">
        <v>5</v>
      </c>
      <c r="L11" s="81"/>
      <c r="M11" s="82">
        <f>(J10*L11)+J10*K11</f>
        <v>350</v>
      </c>
      <c r="N11" s="56"/>
      <c r="O11" s="148"/>
      <c r="P11" s="81"/>
      <c r="Q11" s="80">
        <f>SUM(O10*P11)+O10</f>
        <v>680</v>
      </c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3.5" customHeight="1">
      <c r="A12" s="280" t="s">
        <v>107</v>
      </c>
      <c r="B12" s="144"/>
      <c r="C12" s="83">
        <f>SUM(C9:C11)</f>
        <v>1900</v>
      </c>
      <c r="D12" s="56"/>
      <c r="E12" s="280" t="s">
        <v>108</v>
      </c>
      <c r="F12" s="146"/>
      <c r="G12" s="144"/>
      <c r="H12" s="83">
        <f>SUM(H10:H11)</f>
        <v>892.5</v>
      </c>
      <c r="I12" s="56"/>
      <c r="J12" s="280" t="s">
        <v>109</v>
      </c>
      <c r="K12" s="146"/>
      <c r="L12" s="144"/>
      <c r="M12" s="83">
        <f>SUM(M9:M11)</f>
        <v>875</v>
      </c>
      <c r="N12" s="56"/>
      <c r="O12" s="280" t="s">
        <v>110</v>
      </c>
      <c r="P12" s="144"/>
      <c r="Q12" s="83">
        <f>SUM(Q9:Q11)</f>
        <v>1700</v>
      </c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3.5" customHeight="1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3.5" customHeight="1">
      <c r="A14" s="56"/>
      <c r="B14" s="56"/>
      <c r="C14" s="56"/>
      <c r="D14" s="56"/>
      <c r="E14" s="282" t="s">
        <v>111</v>
      </c>
      <c r="F14" s="178"/>
      <c r="G14" s="178"/>
      <c r="H14" s="178"/>
      <c r="I14" s="56"/>
      <c r="J14" s="56"/>
      <c r="K14" s="56"/>
      <c r="L14" s="56"/>
      <c r="M14" s="56"/>
      <c r="N14" s="56"/>
      <c r="O14" s="282" t="s">
        <v>112</v>
      </c>
      <c r="P14" s="178"/>
      <c r="Q14" s="178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3.5" customHeight="1">
      <c r="A15" s="56"/>
      <c r="B15" s="56"/>
      <c r="C15" s="56"/>
      <c r="D15" s="56"/>
      <c r="E15" s="178"/>
      <c r="F15" s="178"/>
      <c r="G15" s="178"/>
      <c r="H15" s="178"/>
      <c r="I15" s="56"/>
      <c r="J15" s="56"/>
      <c r="K15" s="56"/>
      <c r="L15" s="56"/>
      <c r="M15" s="56"/>
      <c r="N15" s="56"/>
      <c r="O15" s="178"/>
      <c r="P15" s="178"/>
      <c r="Q15" s="178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24.75" customHeight="1">
      <c r="A16" s="84"/>
      <c r="B16" s="84"/>
      <c r="C16" s="84"/>
      <c r="D16" s="84"/>
      <c r="E16" s="56"/>
      <c r="F16" s="56"/>
      <c r="G16" s="59"/>
      <c r="H16" s="59"/>
      <c r="I16" s="59"/>
      <c r="J16" s="56"/>
      <c r="K16" s="56"/>
      <c r="L16" s="56"/>
      <c r="M16" s="56"/>
      <c r="N16" s="56"/>
      <c r="O16" s="178"/>
      <c r="P16" s="178"/>
      <c r="Q16" s="178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3.5" customHeight="1">
      <c r="A17" s="84"/>
      <c r="B17" s="84"/>
      <c r="C17" s="84"/>
      <c r="D17" s="84"/>
      <c r="E17" s="56"/>
      <c r="F17" s="56"/>
      <c r="G17" s="59"/>
      <c r="H17" s="59"/>
      <c r="I17" s="59"/>
      <c r="J17" s="56"/>
      <c r="K17" s="56"/>
      <c r="L17" s="56"/>
      <c r="M17" s="56"/>
      <c r="N17" s="56"/>
      <c r="O17" s="85"/>
      <c r="P17" s="85"/>
      <c r="Q17" s="85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3.5" customHeight="1">
      <c r="A18" s="84"/>
      <c r="B18" s="84"/>
      <c r="C18" s="84"/>
      <c r="D18" s="84"/>
      <c r="E18" s="56"/>
      <c r="F18" s="56"/>
      <c r="G18" s="59"/>
      <c r="H18" s="59"/>
      <c r="I18" s="59"/>
      <c r="J18" s="56"/>
      <c r="K18" s="56"/>
      <c r="L18" s="56"/>
      <c r="M18" s="56"/>
      <c r="N18" s="56"/>
      <c r="O18" s="85"/>
      <c r="P18" s="85"/>
      <c r="Q18" s="85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51" customHeight="1">
      <c r="A19" s="283" t="s">
        <v>113</v>
      </c>
      <c r="B19" s="146"/>
      <c r="C19" s="146"/>
      <c r="D19" s="146"/>
      <c r="E19" s="146"/>
      <c r="F19" s="144"/>
      <c r="G19" s="62"/>
      <c r="H19" s="62"/>
      <c r="I19" s="62"/>
      <c r="J19" s="284" t="s">
        <v>114</v>
      </c>
      <c r="K19" s="144"/>
      <c r="L19" s="86" t="s">
        <v>10</v>
      </c>
      <c r="M19" s="86" t="s">
        <v>13</v>
      </c>
      <c r="N19" s="56"/>
      <c r="O19" s="85"/>
      <c r="P19" s="85"/>
      <c r="Q19" s="85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8" customHeight="1">
      <c r="A20" s="87" t="s">
        <v>9</v>
      </c>
      <c r="B20" s="87" t="s">
        <v>98</v>
      </c>
      <c r="C20" s="87" t="s">
        <v>115</v>
      </c>
      <c r="D20" s="87" t="s">
        <v>73</v>
      </c>
      <c r="E20" s="87" t="s">
        <v>13</v>
      </c>
      <c r="F20" s="87" t="s">
        <v>116</v>
      </c>
      <c r="G20" s="88"/>
      <c r="H20" s="88"/>
      <c r="I20" s="89"/>
      <c r="J20" s="285">
        <v>665</v>
      </c>
      <c r="K20" s="128"/>
      <c r="L20" s="73" t="s">
        <v>117</v>
      </c>
      <c r="M20" s="90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8" customHeight="1">
      <c r="A21" s="73">
        <v>1</v>
      </c>
      <c r="B21" s="73" t="str">
        <f t="shared" ref="B21:B22" si="0">B10</f>
        <v>JEAN</v>
      </c>
      <c r="C21" s="73">
        <v>50</v>
      </c>
      <c r="D21" s="78">
        <v>54</v>
      </c>
      <c r="E21" s="78">
        <f t="shared" ref="E21:E22" si="1">D21*C21</f>
        <v>2700</v>
      </c>
      <c r="F21" s="73"/>
      <c r="G21" s="91"/>
      <c r="H21" s="92"/>
      <c r="I21" s="92"/>
      <c r="J21" s="150"/>
      <c r="K21" s="151"/>
      <c r="L21" s="73" t="s">
        <v>118</v>
      </c>
      <c r="M21" s="90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8" customHeight="1">
      <c r="A22" s="79">
        <v>2</v>
      </c>
      <c r="B22" s="79" t="str">
        <f t="shared" si="0"/>
        <v>TOP</v>
      </c>
      <c r="C22" s="79">
        <v>50</v>
      </c>
      <c r="D22" s="80">
        <v>27</v>
      </c>
      <c r="E22" s="80">
        <f t="shared" si="1"/>
        <v>1350</v>
      </c>
      <c r="F22" s="79"/>
      <c r="G22" s="91"/>
      <c r="H22" s="92"/>
      <c r="I22" s="92"/>
      <c r="J22" s="129"/>
      <c r="K22" s="130"/>
      <c r="L22" s="73"/>
      <c r="M22" s="73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3.5" customHeight="1">
      <c r="A23" s="281" t="s">
        <v>119</v>
      </c>
      <c r="B23" s="141"/>
      <c r="C23" s="141"/>
      <c r="D23" s="202"/>
      <c r="E23" s="93">
        <f>SUM(E21:E22)</f>
        <v>4050</v>
      </c>
      <c r="F23" s="94"/>
      <c r="G23" s="95"/>
      <c r="H23" s="96"/>
      <c r="I23" s="96"/>
      <c r="J23" s="280" t="s">
        <v>120</v>
      </c>
      <c r="K23" s="146"/>
      <c r="L23" s="144"/>
      <c r="M23" s="97">
        <f>SUM(M20:M22)</f>
        <v>0</v>
      </c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3.5" customHeight="1">
      <c r="A24" s="56"/>
      <c r="B24" s="56"/>
      <c r="C24" s="56"/>
      <c r="D24" s="56"/>
      <c r="E24" s="98"/>
      <c r="F24" s="96"/>
      <c r="G24" s="96"/>
      <c r="H24" s="99"/>
      <c r="I24" s="92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3.5" customHeight="1">
      <c r="A25" s="56"/>
      <c r="B25" s="56"/>
      <c r="C25" s="56"/>
      <c r="D25" s="56"/>
      <c r="E25" s="56"/>
      <c r="F25" s="56"/>
      <c r="G25" s="99"/>
      <c r="H25" s="99"/>
      <c r="I25" s="99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30" customHeight="1">
      <c r="A26" s="278" t="s">
        <v>121</v>
      </c>
      <c r="B26" s="146"/>
      <c r="C26" s="144"/>
      <c r="D26" s="56"/>
      <c r="E26" s="56"/>
      <c r="F26" s="56"/>
      <c r="G26" s="99"/>
      <c r="H26" s="99"/>
      <c r="I26" s="99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3.5" customHeight="1">
      <c r="A27" s="279" t="s">
        <v>94</v>
      </c>
      <c r="B27" s="146"/>
      <c r="C27" s="144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3.5" customHeight="1">
      <c r="A28" s="271" t="s">
        <v>107</v>
      </c>
      <c r="B28" s="178"/>
      <c r="C28" s="100">
        <f>C12</f>
        <v>1900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3.5" customHeight="1">
      <c r="A29" s="271" t="s">
        <v>108</v>
      </c>
      <c r="B29" s="178"/>
      <c r="C29" s="100">
        <f>H12</f>
        <v>892.5</v>
      </c>
      <c r="D29" s="275" t="s">
        <v>122</v>
      </c>
      <c r="E29" s="178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3.5" customHeight="1">
      <c r="A30" s="271" t="s">
        <v>123</v>
      </c>
      <c r="B30" s="178"/>
      <c r="C30" s="100">
        <f>M12</f>
        <v>875</v>
      </c>
      <c r="D30" s="275" t="s">
        <v>122</v>
      </c>
      <c r="E30" s="178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3.5" customHeight="1">
      <c r="A31" s="271" t="s">
        <v>110</v>
      </c>
      <c r="B31" s="178"/>
      <c r="C31" s="100">
        <f>Q12</f>
        <v>1700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3.5" customHeight="1">
      <c r="A32" s="271" t="s">
        <v>114</v>
      </c>
      <c r="B32" s="178"/>
      <c r="C32" s="100">
        <f>M23</f>
        <v>0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3.5" customHeight="1">
      <c r="A33" s="272" t="s">
        <v>124</v>
      </c>
      <c r="B33" s="178"/>
      <c r="C33" s="101">
        <f>SUM(C28:C32)</f>
        <v>5367.5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3.5" customHeight="1">
      <c r="A34" s="273"/>
      <c r="B34" s="141"/>
      <c r="C34" s="130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3.5" customHeight="1">
      <c r="A35" s="274" t="s">
        <v>125</v>
      </c>
      <c r="B35" s="146"/>
      <c r="C35" s="144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3.5" customHeight="1">
      <c r="A36" s="271" t="s">
        <v>126</v>
      </c>
      <c r="B36" s="178"/>
      <c r="C36" s="100">
        <f>E23/2</f>
        <v>2025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3.5" customHeight="1">
      <c r="A37" s="271" t="s">
        <v>127</v>
      </c>
      <c r="B37" s="178"/>
      <c r="C37" s="100">
        <f>C36</f>
        <v>2025</v>
      </c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3.5" customHeight="1">
      <c r="A38" s="276"/>
      <c r="B38" s="178"/>
      <c r="C38" s="151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3.5" customHeight="1">
      <c r="A39" s="272" t="s">
        <v>25</v>
      </c>
      <c r="B39" s="178"/>
      <c r="C39" s="102">
        <f>C36+C33</f>
        <v>7392.5</v>
      </c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3.5" customHeight="1">
      <c r="A40" s="276"/>
      <c r="B40" s="178"/>
      <c r="C40" s="151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3.5" customHeight="1">
      <c r="A41" s="270" t="s">
        <v>128</v>
      </c>
      <c r="B41" s="141"/>
      <c r="C41" s="103">
        <f>+C37+C39</f>
        <v>9417.5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3.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3.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13.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13.5" customHeight="1">
      <c r="A45" s="56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13.5" customHeight="1">
      <c r="A46" s="56"/>
      <c r="B46" s="99"/>
      <c r="C46" s="59"/>
      <c r="D46" s="59"/>
      <c r="E46" s="59"/>
      <c r="F46" s="59"/>
      <c r="G46" s="59"/>
      <c r="H46" s="59"/>
      <c r="I46" s="59"/>
      <c r="J46" s="59"/>
      <c r="K46" s="59"/>
      <c r="L46" s="99"/>
      <c r="M46" s="99"/>
      <c r="N46" s="59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13.5" customHeight="1">
      <c r="A47" s="56"/>
      <c r="B47" s="105"/>
      <c r="C47" s="105"/>
      <c r="D47" s="106"/>
      <c r="E47" s="107"/>
      <c r="F47" s="106"/>
      <c r="G47" s="106"/>
      <c r="H47" s="106"/>
      <c r="I47" s="106"/>
      <c r="J47" s="106"/>
      <c r="K47" s="106"/>
      <c r="L47" s="104"/>
      <c r="M47" s="104"/>
      <c r="N47" s="10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3.5" customHeight="1">
      <c r="A48" s="56"/>
      <c r="B48" s="105"/>
      <c r="C48" s="105"/>
      <c r="D48" s="106"/>
      <c r="E48" s="107"/>
      <c r="F48" s="106"/>
      <c r="G48" s="106"/>
      <c r="H48" s="106"/>
      <c r="I48" s="106"/>
      <c r="J48" s="106"/>
      <c r="K48" s="106"/>
      <c r="L48" s="104"/>
      <c r="M48" s="104"/>
      <c r="N48" s="10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3.5" customHeight="1">
      <c r="A49" s="56"/>
      <c r="B49" s="105"/>
      <c r="C49" s="105"/>
      <c r="D49" s="106"/>
      <c r="E49" s="105"/>
      <c r="F49" s="106"/>
      <c r="G49" s="105"/>
      <c r="H49" s="105"/>
      <c r="I49" s="106"/>
      <c r="J49" s="105"/>
      <c r="K49" s="106"/>
      <c r="L49" s="104"/>
      <c r="M49" s="104"/>
      <c r="N49" s="10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3.5" customHeight="1">
      <c r="A50" s="56"/>
      <c r="B50" s="105"/>
      <c r="C50" s="105"/>
      <c r="D50" s="106"/>
      <c r="E50" s="105"/>
      <c r="F50" s="106"/>
      <c r="G50" s="105"/>
      <c r="H50" s="105"/>
      <c r="I50" s="106"/>
      <c r="J50" s="105"/>
      <c r="K50" s="106"/>
      <c r="L50" s="104"/>
      <c r="M50" s="104"/>
      <c r="N50" s="10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13.5" customHeight="1">
      <c r="A51" s="56"/>
      <c r="B51" s="105"/>
      <c r="C51" s="105"/>
      <c r="D51" s="106"/>
      <c r="E51" s="105"/>
      <c r="F51" s="106"/>
      <c r="G51" s="105"/>
      <c r="H51" s="105"/>
      <c r="I51" s="105"/>
      <c r="J51" s="105"/>
      <c r="K51" s="106"/>
      <c r="L51" s="108"/>
      <c r="M51" s="108"/>
      <c r="N51" s="109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3.5" customHeight="1">
      <c r="A52" s="56"/>
      <c r="B52" s="105"/>
      <c r="C52" s="105"/>
      <c r="D52" s="106"/>
      <c r="E52" s="105"/>
      <c r="F52" s="106"/>
      <c r="G52" s="105"/>
      <c r="H52" s="105"/>
      <c r="I52" s="105"/>
      <c r="J52" s="105"/>
      <c r="K52" s="106"/>
      <c r="L52" s="108"/>
      <c r="M52" s="108"/>
      <c r="N52" s="109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3.5" customHeight="1">
      <c r="A53" s="56"/>
      <c r="B53" s="104"/>
      <c r="C53" s="104"/>
      <c r="D53" s="104"/>
      <c r="E53" s="104"/>
      <c r="F53" s="110"/>
      <c r="G53" s="104"/>
      <c r="H53" s="104"/>
      <c r="I53" s="104"/>
      <c r="J53" s="104"/>
      <c r="K53" s="110"/>
      <c r="L53" s="104"/>
      <c r="M53" s="104"/>
      <c r="N53" s="110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3.5" customHeight="1">
      <c r="A54" s="56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3.5" customHeight="1">
      <c r="A55" s="56"/>
      <c r="B55" s="104"/>
      <c r="C55" s="104"/>
      <c r="D55" s="59"/>
      <c r="E55" s="104"/>
      <c r="F55" s="104"/>
      <c r="G55" s="104"/>
      <c r="H55" s="104"/>
      <c r="I55" s="59"/>
      <c r="J55" s="104"/>
      <c r="K55" s="104"/>
      <c r="L55" s="104"/>
      <c r="M55" s="104"/>
      <c r="N55" s="104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3.5" customHeight="1">
      <c r="A56" s="56"/>
      <c r="B56" s="104"/>
      <c r="C56" s="104"/>
      <c r="D56" s="111"/>
      <c r="E56" s="112"/>
      <c r="F56" s="112"/>
      <c r="G56" s="104"/>
      <c r="H56" s="104"/>
      <c r="I56" s="105"/>
      <c r="J56" s="112"/>
      <c r="K56" s="112"/>
      <c r="L56" s="112"/>
      <c r="M56" s="112"/>
      <c r="N56" s="112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3.5" customHeight="1">
      <c r="A57" s="56"/>
      <c r="B57" s="104"/>
      <c r="C57" s="104"/>
      <c r="D57" s="111"/>
      <c r="E57" s="112"/>
      <c r="F57" s="112"/>
      <c r="G57" s="104"/>
      <c r="H57" s="104"/>
      <c r="I57" s="105"/>
      <c r="J57" s="112"/>
      <c r="K57" s="112"/>
      <c r="L57" s="112"/>
      <c r="M57" s="112"/>
      <c r="N57" s="112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3.5" customHeight="1">
      <c r="A58" s="56"/>
      <c r="B58" s="104"/>
      <c r="C58" s="104"/>
      <c r="D58" s="105"/>
      <c r="E58" s="112"/>
      <c r="F58" s="112"/>
      <c r="G58" s="104"/>
      <c r="H58" s="104"/>
      <c r="I58" s="105"/>
      <c r="J58" s="112"/>
      <c r="K58" s="112"/>
      <c r="L58" s="112"/>
      <c r="M58" s="112"/>
      <c r="N58" s="112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3.5" customHeight="1">
      <c r="A59" s="56"/>
      <c r="B59" s="104"/>
      <c r="C59" s="104"/>
      <c r="D59" s="105"/>
      <c r="E59" s="112"/>
      <c r="F59" s="112"/>
      <c r="G59" s="104"/>
      <c r="H59" s="104"/>
      <c r="I59" s="105"/>
      <c r="J59" s="112"/>
      <c r="K59" s="112"/>
      <c r="L59" s="112"/>
      <c r="M59" s="112"/>
      <c r="N59" s="112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3.5" customHeight="1">
      <c r="A60" s="56"/>
      <c r="B60" s="104"/>
      <c r="C60" s="104"/>
      <c r="D60" s="105"/>
      <c r="E60" s="112"/>
      <c r="F60" s="112"/>
      <c r="G60" s="104"/>
      <c r="H60" s="104"/>
      <c r="I60" s="105"/>
      <c r="J60" s="112"/>
      <c r="K60" s="112"/>
      <c r="L60" s="112"/>
      <c r="M60" s="112"/>
      <c r="N60" s="112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3.5" customHeight="1">
      <c r="A61" s="56"/>
      <c r="B61" s="104"/>
      <c r="C61" s="104"/>
      <c r="D61" s="105"/>
      <c r="E61" s="112"/>
      <c r="F61" s="112"/>
      <c r="G61" s="104"/>
      <c r="H61" s="104"/>
      <c r="I61" s="105"/>
      <c r="J61" s="112"/>
      <c r="K61" s="112"/>
      <c r="L61" s="112"/>
      <c r="M61" s="112"/>
      <c r="N61" s="112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3.5" customHeight="1">
      <c r="A62" s="56"/>
      <c r="B62" s="104"/>
      <c r="C62" s="104"/>
      <c r="D62" s="105"/>
      <c r="E62" s="112"/>
      <c r="F62" s="112"/>
      <c r="G62" s="104"/>
      <c r="H62" s="104"/>
      <c r="I62" s="105"/>
      <c r="J62" s="112"/>
      <c r="K62" s="112"/>
      <c r="L62" s="112"/>
      <c r="M62" s="112"/>
      <c r="N62" s="112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3.5" customHeight="1">
      <c r="A63" s="56"/>
      <c r="B63" s="104"/>
      <c r="C63" s="104"/>
      <c r="D63" s="105"/>
      <c r="E63" s="112"/>
      <c r="F63" s="112"/>
      <c r="G63" s="104"/>
      <c r="H63" s="104"/>
      <c r="I63" s="105"/>
      <c r="J63" s="112"/>
      <c r="K63" s="112"/>
      <c r="L63" s="112"/>
      <c r="M63" s="112"/>
      <c r="N63" s="112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3.5" customHeight="1">
      <c r="A64" s="56"/>
      <c r="B64" s="104"/>
      <c r="C64" s="104"/>
      <c r="D64" s="105"/>
      <c r="E64" s="112"/>
      <c r="F64" s="112"/>
      <c r="G64" s="104"/>
      <c r="H64" s="104"/>
      <c r="I64" s="105"/>
      <c r="J64" s="112"/>
      <c r="K64" s="112"/>
      <c r="L64" s="112"/>
      <c r="M64" s="112"/>
      <c r="N64" s="112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3.5" customHeight="1">
      <c r="A65" s="56"/>
      <c r="B65" s="104"/>
      <c r="C65" s="104"/>
      <c r="D65" s="105"/>
      <c r="E65" s="112"/>
      <c r="F65" s="112"/>
      <c r="G65" s="104"/>
      <c r="H65" s="104"/>
      <c r="I65" s="105"/>
      <c r="J65" s="112"/>
      <c r="K65" s="112"/>
      <c r="L65" s="112"/>
      <c r="M65" s="112"/>
      <c r="N65" s="112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3.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3.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3.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3.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13.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3.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3.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3.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3.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13.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3.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3.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3.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13.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3.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3.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3.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3.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13.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3.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3.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3.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3.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3.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3.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3.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3.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3.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3.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3.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3.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3.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3.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3.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3.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3.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3.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3.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13.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3.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3.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13.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3.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3.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3.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3.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13.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13.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3.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3.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3.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3.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3.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3.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3.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3.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3.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3.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3.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3.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3.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3.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3.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3.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3.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3.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3.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3.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3.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3.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3.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3.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3.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3.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3.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3.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3.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3.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3.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3.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3.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3.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3.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3.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3.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3.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3.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3.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3.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3.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3.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3.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3.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3.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3.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3.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3.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3.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3.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3.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3.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3.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3.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3.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3.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3.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3.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3.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3.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3.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3.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3.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3.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3.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3.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3.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3.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3.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3.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3.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3.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3.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3.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3.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3.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3.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3.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3.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3.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3.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3.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3.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3.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3.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3.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3.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3.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3.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3.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3.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3.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3.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3.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3.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3.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3.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3.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3.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3.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3.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3.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3.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3.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3.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3.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3.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3.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3.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3.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3.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3.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3.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3.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3.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3.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3.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3.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3.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3.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3.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3.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3.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3.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3.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3.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3.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3.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3.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3.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3.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3.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3.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3.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3.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3.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3.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3.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3.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3.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3.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3.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3.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3.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3.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3.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3.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3.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3.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3.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ht="13.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ht="13.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ht="13.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ht="13.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ht="13.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ht="13.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ht="13.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ht="13.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ht="13.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ht="13.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ht="13.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ht="13.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ht="13.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ht="13.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ht="13.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ht="13.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13.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13.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13.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13.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13.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13.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13.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13.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13.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13.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13.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13.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13.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13.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13.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13.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13.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13.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13.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13.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13.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13.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13.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13.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13.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13.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13.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13.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13.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13.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13.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13.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13.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13.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13.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13.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13.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13.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13.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13.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13.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13.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13.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13.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13.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13.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13.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13.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13.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13.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13.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13.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13.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13.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13.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13.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13.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13.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13.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13.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13.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13.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13.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13.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13.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13.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13.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13.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13.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13.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13.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13.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13.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13.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13.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13.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13.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13.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13.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13.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13.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13.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13.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13.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13.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13.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13.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13.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13.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13.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13.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13.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13.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13.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13.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13.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13.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13.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13.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13.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13.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13.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13.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13.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13.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13.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13.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13.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13.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13.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13.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13.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13.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13.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13.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13.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13.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13.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13.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13.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13.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13.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13.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13.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13.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13.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13.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13.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13.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13.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13.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13.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13.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13.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13.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13.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13.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13.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13.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13.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13.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13.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13.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13.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13.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13.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13.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13.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13.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13.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13.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13.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13.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13.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13.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13.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13.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13.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13.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13.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13.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13.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13.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13.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13.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13.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13.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13.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13.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13.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13.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13.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13.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13.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13.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13.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13.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13.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13.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13.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13.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13.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13.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13.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13.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13.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13.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13.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13.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13.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13.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13.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13.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13.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13.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13.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13.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13.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13.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13.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13.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13.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13.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13.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13.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13.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13.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13.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13.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13.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13.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13.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13.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13.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13.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13.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13.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13.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13.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13.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13.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13.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13.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13.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13.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13.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13.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13.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13.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13.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13.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13.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13.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13.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13.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13.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13.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13.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13.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13.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13.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13.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13.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13.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13.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13.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13.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13.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13.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13.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13.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13.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13.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13.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13.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13.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13.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13.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13.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13.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13.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13.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13.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13.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13.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13.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13.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13.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13.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13.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13.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13.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13.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13.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13.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13.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13.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13.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13.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13.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13.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13.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13.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13.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13.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13.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13.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13.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13.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13.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13.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13.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13.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13.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13.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13.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13.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13.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13.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13.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13.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13.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13.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13.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13.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13.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13.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13.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13.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13.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13.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13.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13.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13.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13.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13.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13.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13.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13.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13.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13.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13.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13.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13.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13.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13.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13.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13.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13.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13.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13.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13.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13.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13.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13.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13.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13.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13.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13.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13.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13.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13.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13.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13.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13.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13.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13.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13.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13.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13.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13.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13.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13.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13.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13.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13.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13.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13.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13.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13.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13.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13.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13.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13.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13.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13.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13.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13.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13.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13.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13.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13.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13.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13.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13.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13.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13.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13.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13.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13.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13.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13.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13.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13.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13.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13.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13.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13.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13.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13.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13.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13.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13.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13.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13.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13.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13.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13.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13.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13.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13.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13.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13.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13.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13.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13.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13.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13.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13.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13.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13.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13.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13.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13.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13.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13.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13.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13.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13.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13.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13.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13.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13.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13.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13.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13.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13.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13.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13.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13.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13.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13.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13.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13.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13.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13.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13.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13.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13.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13.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13.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13.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13.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13.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13.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13.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13.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13.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13.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13.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13.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13.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13.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13.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13.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13.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13.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13.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13.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13.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13.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13.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13.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13.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13.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13.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13.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13.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13.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13.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13.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13.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13.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13.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13.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13.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13.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13.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13.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13.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13.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13.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13.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13.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13.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13.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13.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13.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13.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13.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13.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13.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13.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13.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13.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13.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13.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13.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13.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13.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13.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13.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13.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13.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13.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13.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13.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13.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13.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13.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13.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13.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13.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13.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13.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13.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13.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13.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13.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13.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13.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13.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13.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13.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13.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13.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13.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13.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13.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13.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13.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13.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13.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13.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13.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13.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13.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13.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13.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13.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13.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13.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13.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13.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13.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13.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13.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13.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13.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13.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13.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13.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13.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13.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13.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13.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13.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13.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13.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13.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13.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13.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13.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13.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13.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13.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13.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13.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13.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13.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13.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13.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13.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13.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13.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13.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13.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13.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13.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13.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13.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13.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13.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13.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13.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13.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13.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13.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13.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13.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13.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13.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13.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13.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13.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13.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13.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13.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13.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13.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13.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13.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13.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13.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13.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13.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13.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13.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13.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13.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13.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13.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ht="13.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ht="13.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ht="13.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ht="13.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ht="13.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ht="13.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spans="1:26" ht="13.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spans="1:26" ht="13.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spans="1:26" ht="13.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spans="1:26" ht="13.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spans="1:26" ht="13.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spans="1:26" ht="13.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spans="1:26" ht="13.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spans="1:26" ht="13.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spans="1:26" ht="13.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spans="1:26" ht="13.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spans="1:26" ht="13.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spans="1:26" ht="13.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ht="13.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spans="1:26" ht="13.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spans="1:26" ht="13.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spans="1:26" ht="13.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spans="1:26" ht="13.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spans="1:26" ht="13.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spans="1:26" ht="13.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spans="1:26" ht="13.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spans="1:26" ht="13.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spans="1:26" ht="13.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spans="1:26" ht="13.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spans="1:26" ht="13.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spans="1:26" ht="13.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spans="1:26" ht="13.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spans="1:26" ht="13.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spans="1:26" ht="13.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spans="1:26" ht="13.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spans="1:26" ht="13.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spans="1:26" ht="13.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spans="1:26" ht="13.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spans="1:26" ht="13.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spans="1:26" ht="13.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spans="1:26" ht="13.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spans="1:26" ht="13.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spans="1:26" ht="13.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spans="1:26" ht="13.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spans="1:26" ht="13.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spans="1:26" ht="13.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spans="1:26" ht="13.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ht="13.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spans="1:26" ht="13.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spans="1:26" ht="13.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ht="13.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ht="13.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spans="1:26" ht="13.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spans="1:26" ht="13.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spans="1:26" ht="13.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ht="13.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spans="1:26" ht="13.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spans="1:26" ht="13.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spans="1:26" ht="13.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spans="1:26" ht="13.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spans="1:26" ht="13.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spans="1:26" ht="13.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spans="1:26" ht="13.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ht="13.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spans="1:26" ht="13.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spans="1:26" ht="13.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spans="1:26" ht="13.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spans="1:26" ht="13.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spans="1:26" ht="13.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spans="1:26" ht="13.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spans="1:26" ht="13.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spans="1:26" ht="13.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spans="1:26" ht="13.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spans="1:26" ht="13.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spans="1:26" ht="13.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spans="1:26" ht="13.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spans="1:26" ht="13.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spans="1:26" ht="13.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spans="1:26" ht="13.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spans="1:26" ht="13.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spans="1:26" ht="13.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spans="1:26" ht="13.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spans="1:26" ht="13.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spans="1:26" ht="13.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spans="1:26" ht="13.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spans="1:26" ht="13.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spans="1:26" ht="13.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spans="1:26" ht="13.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spans="1:26" ht="13.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spans="1:26" ht="13.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ht="13.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spans="1:26" ht="13.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spans="1:26" ht="13.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spans="1:26" ht="13.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spans="1:26" ht="13.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spans="1:26" ht="13.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spans="1:26" ht="13.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spans="1:26" ht="13.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spans="1:26" ht="13.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spans="1:26" ht="13.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spans="1:26" ht="13.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spans="1:26" ht="13.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spans="1:26" ht="13.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spans="1:26" ht="13.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spans="1:26" ht="13.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spans="1:26" ht="13.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spans="1:26" ht="13.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spans="1:26" ht="13.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mergeCells count="34">
    <mergeCell ref="D1:F1"/>
    <mergeCell ref="E6:F6"/>
    <mergeCell ref="E10:E11"/>
    <mergeCell ref="J10:J11"/>
    <mergeCell ref="E12:G12"/>
    <mergeCell ref="O10:O11"/>
    <mergeCell ref="A26:C26"/>
    <mergeCell ref="A27:C27"/>
    <mergeCell ref="A28:B28"/>
    <mergeCell ref="A29:B29"/>
    <mergeCell ref="D29:E29"/>
    <mergeCell ref="J23:L23"/>
    <mergeCell ref="J12:L12"/>
    <mergeCell ref="A23:D23"/>
    <mergeCell ref="E14:H15"/>
    <mergeCell ref="O14:Q16"/>
    <mergeCell ref="A19:F19"/>
    <mergeCell ref="J19:K19"/>
    <mergeCell ref="A12:B12"/>
    <mergeCell ref="J20:K22"/>
    <mergeCell ref="O12:P12"/>
    <mergeCell ref="A30:B30"/>
    <mergeCell ref="D30:E30"/>
    <mergeCell ref="A38:C38"/>
    <mergeCell ref="A39:B39"/>
    <mergeCell ref="A40:C40"/>
    <mergeCell ref="A41:B41"/>
    <mergeCell ref="A31:B31"/>
    <mergeCell ref="A32:B32"/>
    <mergeCell ref="A33:B33"/>
    <mergeCell ref="A34:C34"/>
    <mergeCell ref="A35:C35"/>
    <mergeCell ref="A36:B36"/>
    <mergeCell ref="A37:B37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B1:AC1000"/>
  <sheetViews>
    <sheetView workbookViewId="0"/>
  </sheetViews>
  <sheetFormatPr defaultColWidth="12.5703125" defaultRowHeight="15" customHeight="1"/>
  <cols>
    <col min="1" max="1" width="12.5703125" customWidth="1"/>
    <col min="2" max="2" width="10.85546875" customWidth="1"/>
    <col min="3" max="3" width="25.85546875" customWidth="1"/>
    <col min="4" max="4" width="46.42578125" customWidth="1"/>
    <col min="5" max="5" width="46.85546875" customWidth="1"/>
    <col min="6" max="8" width="25.85546875" customWidth="1"/>
    <col min="9" max="9" width="5.85546875" customWidth="1"/>
    <col min="10" max="10" width="35.5703125" customWidth="1"/>
    <col min="11" max="11" width="25.85546875" customWidth="1"/>
    <col min="12" max="12" width="56.85546875" customWidth="1"/>
    <col min="13" max="13" width="28.140625" customWidth="1"/>
    <col min="14" max="14" width="25.85546875" customWidth="1"/>
    <col min="15" max="15" width="5.85546875" customWidth="1"/>
    <col min="16" max="18" width="25.85546875" customWidth="1"/>
  </cols>
  <sheetData>
    <row r="1" spans="2:29" ht="15.7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2:29" ht="15.7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2:29" ht="54" customHeight="1">
      <c r="B3" s="177" t="s">
        <v>0</v>
      </c>
      <c r="C3" s="178"/>
      <c r="D3" s="178"/>
      <c r="E3" s="178"/>
      <c r="F3" s="178"/>
      <c r="G3" s="178"/>
      <c r="H3" s="178"/>
      <c r="I3" s="178"/>
      <c r="J3" s="178"/>
      <c r="K3" s="223" t="s">
        <v>41</v>
      </c>
      <c r="L3" s="178"/>
      <c r="M3" s="178"/>
      <c r="N3" s="178"/>
      <c r="O3" s="178"/>
      <c r="P3" s="178"/>
      <c r="Q3" s="178"/>
      <c r="R3" s="178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2:29" ht="1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2:29" ht="15.75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2:29" ht="31.5" customHeight="1">
      <c r="B6" s="180" t="s">
        <v>2</v>
      </c>
      <c r="C6" s="181"/>
      <c r="D6" s="182"/>
      <c r="E6" s="144"/>
      <c r="F6" s="26"/>
      <c r="G6" s="34"/>
      <c r="H6" s="3"/>
      <c r="I6" s="3"/>
      <c r="J6" s="180" t="s">
        <v>3</v>
      </c>
      <c r="K6" s="181"/>
      <c r="L6" s="183" t="s">
        <v>42</v>
      </c>
      <c r="M6" s="144"/>
      <c r="N6" s="3"/>
      <c r="O6" s="3"/>
      <c r="P6" s="3"/>
      <c r="Q6" s="4" t="s">
        <v>5</v>
      </c>
      <c r="R6" s="5">
        <f ca="1">TODAY()</f>
        <v>45989</v>
      </c>
      <c r="S6" s="184"/>
      <c r="T6" s="178"/>
      <c r="U6" s="1"/>
      <c r="V6" s="1"/>
      <c r="W6" s="1"/>
      <c r="X6" s="1"/>
      <c r="Y6" s="1"/>
      <c r="Z6" s="1"/>
      <c r="AA6" s="1"/>
      <c r="AB6" s="1"/>
      <c r="AC6" s="1"/>
    </row>
    <row r="7" spans="2:29" ht="31.5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2:29" ht="31.5" customHeight="1">
      <c r="B8" s="334" t="s">
        <v>129</v>
      </c>
      <c r="C8" s="227"/>
      <c r="D8" s="227"/>
      <c r="E8" s="227"/>
      <c r="F8" s="227"/>
      <c r="G8" s="227"/>
      <c r="H8" s="228"/>
      <c r="I8" s="6"/>
      <c r="J8" s="312" t="s">
        <v>130</v>
      </c>
      <c r="K8" s="227"/>
      <c r="L8" s="227"/>
      <c r="M8" s="227"/>
      <c r="N8" s="228"/>
      <c r="O8" s="6"/>
      <c r="P8" s="226" t="s">
        <v>8</v>
      </c>
      <c r="Q8" s="227"/>
      <c r="R8" s="228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2:29" ht="31.5" customHeight="1">
      <c r="B9" s="113" t="s">
        <v>9</v>
      </c>
      <c r="C9" s="114" t="s">
        <v>10</v>
      </c>
      <c r="D9" s="114" t="s">
        <v>131</v>
      </c>
      <c r="E9" s="115" t="s">
        <v>98</v>
      </c>
      <c r="F9" s="114" t="s">
        <v>132</v>
      </c>
      <c r="G9" s="114" t="s">
        <v>133</v>
      </c>
      <c r="H9" s="116" t="s">
        <v>13</v>
      </c>
      <c r="I9" s="10"/>
      <c r="J9" s="117" t="s">
        <v>134</v>
      </c>
      <c r="K9" s="114" t="s">
        <v>103</v>
      </c>
      <c r="L9" s="114" t="s">
        <v>135</v>
      </c>
      <c r="M9" s="114" t="s">
        <v>136</v>
      </c>
      <c r="N9" s="116" t="s">
        <v>13</v>
      </c>
      <c r="O9" s="10"/>
      <c r="P9" s="118"/>
      <c r="Q9" s="119"/>
      <c r="R9" s="120" t="s">
        <v>13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2:29" ht="31.5" customHeight="1">
      <c r="B10" s="316">
        <v>1</v>
      </c>
      <c r="C10" s="241" t="s">
        <v>137</v>
      </c>
      <c r="D10" s="306" t="s">
        <v>138</v>
      </c>
      <c r="E10" s="317" t="s">
        <v>139</v>
      </c>
      <c r="F10" s="306">
        <v>77</v>
      </c>
      <c r="G10" s="241">
        <v>100</v>
      </c>
      <c r="H10" s="307">
        <f>G10*F10</f>
        <v>7700</v>
      </c>
      <c r="I10" s="12"/>
      <c r="J10" s="304">
        <v>425</v>
      </c>
      <c r="K10" s="306">
        <v>650</v>
      </c>
      <c r="L10" s="306">
        <v>950</v>
      </c>
      <c r="M10" s="306">
        <v>650</v>
      </c>
      <c r="N10" s="307">
        <f>SUM(J10:M10)</f>
        <v>2675</v>
      </c>
      <c r="O10" s="12"/>
      <c r="P10" s="300" t="s">
        <v>140</v>
      </c>
      <c r="Q10" s="230"/>
      <c r="R10" s="331">
        <f>H18</f>
        <v>26200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2:29" ht="31.5" customHeight="1">
      <c r="B11" s="305"/>
      <c r="C11" s="195"/>
      <c r="D11" s="195"/>
      <c r="E11" s="198"/>
      <c r="F11" s="195"/>
      <c r="G11" s="195"/>
      <c r="H11" s="308"/>
      <c r="I11" s="12"/>
      <c r="J11" s="305"/>
      <c r="K11" s="195"/>
      <c r="L11" s="195"/>
      <c r="M11" s="195"/>
      <c r="N11" s="308"/>
      <c r="O11" s="12"/>
      <c r="P11" s="150"/>
      <c r="Q11" s="178"/>
      <c r="R11" s="332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2:29" ht="31.5" customHeight="1">
      <c r="B12" s="318">
        <v>2</v>
      </c>
      <c r="C12" s="203" t="s">
        <v>141</v>
      </c>
      <c r="D12" s="319" t="s">
        <v>138</v>
      </c>
      <c r="E12" s="320" t="s">
        <v>142</v>
      </c>
      <c r="F12" s="319">
        <v>59</v>
      </c>
      <c r="G12" s="203">
        <v>100</v>
      </c>
      <c r="H12" s="311">
        <f>G12*F12</f>
        <v>5900</v>
      </c>
      <c r="I12" s="12"/>
      <c r="J12" s="329">
        <v>425</v>
      </c>
      <c r="K12" s="319">
        <v>650</v>
      </c>
      <c r="L12" s="319">
        <v>950</v>
      </c>
      <c r="M12" s="289"/>
      <c r="N12" s="311">
        <f>SUM(J12:M13)</f>
        <v>2025</v>
      </c>
      <c r="O12" s="12"/>
      <c r="P12" s="150"/>
      <c r="Q12" s="178"/>
      <c r="R12" s="332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2:29" ht="31.5" customHeight="1">
      <c r="B13" s="305"/>
      <c r="C13" s="195"/>
      <c r="D13" s="195"/>
      <c r="E13" s="321"/>
      <c r="F13" s="195"/>
      <c r="G13" s="195"/>
      <c r="H13" s="308"/>
      <c r="I13" s="12"/>
      <c r="J13" s="305"/>
      <c r="K13" s="195"/>
      <c r="L13" s="195"/>
      <c r="M13" s="195"/>
      <c r="N13" s="308"/>
      <c r="O13" s="12"/>
      <c r="P13" s="187"/>
      <c r="Q13" s="231"/>
      <c r="R13" s="333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2:29" ht="31.5" customHeight="1">
      <c r="B14" s="316">
        <v>3</v>
      </c>
      <c r="C14" s="241" t="s">
        <v>143</v>
      </c>
      <c r="D14" s="306" t="s">
        <v>144</v>
      </c>
      <c r="E14" s="317" t="s">
        <v>145</v>
      </c>
      <c r="F14" s="306">
        <v>51</v>
      </c>
      <c r="G14" s="241">
        <v>100</v>
      </c>
      <c r="H14" s="307">
        <f>G14*F14</f>
        <v>5100</v>
      </c>
      <c r="I14" s="12"/>
      <c r="J14" s="304">
        <v>425</v>
      </c>
      <c r="K14" s="306">
        <v>650</v>
      </c>
      <c r="L14" s="306">
        <v>950</v>
      </c>
      <c r="M14" s="289"/>
      <c r="N14" s="307">
        <f>SUM(J14:M15)</f>
        <v>2025</v>
      </c>
      <c r="O14" s="12"/>
      <c r="P14" s="300" t="s">
        <v>146</v>
      </c>
      <c r="Q14" s="186"/>
      <c r="R14" s="309">
        <f>N18</f>
        <v>8750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2:29" ht="31.5" customHeight="1">
      <c r="B15" s="305"/>
      <c r="C15" s="195"/>
      <c r="D15" s="195"/>
      <c r="E15" s="198"/>
      <c r="F15" s="195"/>
      <c r="G15" s="195"/>
      <c r="H15" s="308"/>
      <c r="I15" s="12"/>
      <c r="J15" s="305"/>
      <c r="K15" s="195"/>
      <c r="L15" s="195"/>
      <c r="M15" s="195"/>
      <c r="N15" s="308"/>
      <c r="O15" s="12"/>
      <c r="P15" s="150"/>
      <c r="Q15" s="301"/>
      <c r="R15" s="310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2:29" ht="31.5" customHeight="1">
      <c r="B16" s="318">
        <v>4</v>
      </c>
      <c r="C16" s="203" t="s">
        <v>147</v>
      </c>
      <c r="D16" s="319" t="s">
        <v>144</v>
      </c>
      <c r="E16" s="320" t="s">
        <v>148</v>
      </c>
      <c r="F16" s="319">
        <v>75</v>
      </c>
      <c r="G16" s="203">
        <v>100</v>
      </c>
      <c r="H16" s="311">
        <f>G16*F16</f>
        <v>7500</v>
      </c>
      <c r="I16" s="12"/>
      <c r="J16" s="329">
        <v>425</v>
      </c>
      <c r="K16" s="319">
        <v>650</v>
      </c>
      <c r="L16" s="319">
        <v>950</v>
      </c>
      <c r="M16" s="289"/>
      <c r="N16" s="311">
        <f>SUM(J16:M17)</f>
        <v>2025</v>
      </c>
      <c r="O16" s="12"/>
      <c r="P16" s="150"/>
      <c r="Q16" s="301"/>
      <c r="R16" s="310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2:29" ht="31.5" customHeight="1">
      <c r="B17" s="305"/>
      <c r="C17" s="195"/>
      <c r="D17" s="195"/>
      <c r="E17" s="321"/>
      <c r="F17" s="195"/>
      <c r="G17" s="195"/>
      <c r="H17" s="308"/>
      <c r="I17" s="121"/>
      <c r="J17" s="305"/>
      <c r="K17" s="195"/>
      <c r="L17" s="195"/>
      <c r="M17" s="195"/>
      <c r="N17" s="308"/>
      <c r="O17" s="121"/>
      <c r="P17" s="187"/>
      <c r="Q17" s="188"/>
      <c r="R17" s="308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2:29" ht="31.5" customHeight="1">
      <c r="B18" s="322" t="s">
        <v>140</v>
      </c>
      <c r="C18" s="323"/>
      <c r="D18" s="323"/>
      <c r="E18" s="323"/>
      <c r="F18" s="323"/>
      <c r="G18" s="324"/>
      <c r="H18" s="122">
        <f>SUM(H10:H17)</f>
        <v>26200</v>
      </c>
      <c r="I18" s="13"/>
      <c r="J18" s="260" t="s">
        <v>149</v>
      </c>
      <c r="K18" s="141"/>
      <c r="L18" s="141"/>
      <c r="M18" s="141"/>
      <c r="N18" s="123">
        <f>SUM(N10:N17)</f>
        <v>8750</v>
      </c>
      <c r="O18" s="13"/>
      <c r="P18" s="302" t="s">
        <v>25</v>
      </c>
      <c r="Q18" s="303"/>
      <c r="R18" s="124">
        <f>SUM(R10:R17)</f>
        <v>34950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2:29" ht="31.5" customHeight="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2:29" ht="31.5" customHeight="1">
      <c r="B20" s="325" t="s">
        <v>26</v>
      </c>
      <c r="C20" s="326"/>
      <c r="D20" s="193"/>
      <c r="E20" s="23" t="s">
        <v>9</v>
      </c>
      <c r="F20" s="327"/>
      <c r="G20" s="326"/>
      <c r="H20" s="193"/>
      <c r="I20" s="6"/>
      <c r="J20" s="312" t="s">
        <v>26</v>
      </c>
      <c r="K20" s="228"/>
      <c r="L20" s="38" t="s">
        <v>9</v>
      </c>
      <c r="M20" s="312" t="s">
        <v>27</v>
      </c>
      <c r="N20" s="228"/>
      <c r="O20" s="6"/>
      <c r="P20" s="226" t="s">
        <v>28</v>
      </c>
      <c r="Q20" s="227"/>
      <c r="R20" s="228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2:29" ht="31.5" customHeight="1">
      <c r="B21" s="328" t="s">
        <v>150</v>
      </c>
      <c r="C21" s="230"/>
      <c r="D21" s="186"/>
      <c r="E21" s="194">
        <f>COUNT(B10:B17)</f>
        <v>4</v>
      </c>
      <c r="F21" s="330" t="s">
        <v>151</v>
      </c>
      <c r="G21" s="230"/>
      <c r="H21" s="191"/>
      <c r="I21" s="19"/>
      <c r="J21" s="288" t="s">
        <v>152</v>
      </c>
      <c r="K21" s="186"/>
      <c r="L21" s="203">
        <f>COUNT(J10:J16)</f>
        <v>4</v>
      </c>
      <c r="M21" s="313" t="s">
        <v>153</v>
      </c>
      <c r="N21" s="191"/>
      <c r="O21" s="19"/>
      <c r="P21" s="229"/>
      <c r="Q21" s="230"/>
      <c r="R21" s="19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2:29" ht="31.5" customHeight="1">
      <c r="B22" s="187"/>
      <c r="C22" s="231"/>
      <c r="D22" s="188"/>
      <c r="E22" s="195"/>
      <c r="F22" s="298"/>
      <c r="G22" s="178"/>
      <c r="H22" s="151"/>
      <c r="I22" s="19"/>
      <c r="J22" s="187"/>
      <c r="K22" s="188"/>
      <c r="L22" s="195"/>
      <c r="M22" s="197"/>
      <c r="N22" s="151"/>
      <c r="O22" s="19"/>
      <c r="P22" s="187"/>
      <c r="Q22" s="231"/>
      <c r="R22" s="199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2:29" ht="31.5" customHeight="1">
      <c r="B23" s="294" t="s">
        <v>154</v>
      </c>
      <c r="C23" s="230"/>
      <c r="D23" s="186"/>
      <c r="E23" s="201">
        <f>SUM(G10:G17)</f>
        <v>400</v>
      </c>
      <c r="F23" s="298"/>
      <c r="G23" s="178"/>
      <c r="H23" s="151"/>
      <c r="I23" s="19"/>
      <c r="J23" s="315" t="s">
        <v>155</v>
      </c>
      <c r="K23" s="186"/>
      <c r="L23" s="201">
        <f>COUNT(K10:K16)</f>
        <v>4</v>
      </c>
      <c r="M23" s="197"/>
      <c r="N23" s="151"/>
      <c r="O23" s="19"/>
      <c r="P23" s="237"/>
      <c r="Q23" s="230"/>
      <c r="R23" s="19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2:29" ht="31.5" customHeight="1">
      <c r="B24" s="187"/>
      <c r="C24" s="231"/>
      <c r="D24" s="188"/>
      <c r="E24" s="195"/>
      <c r="F24" s="299"/>
      <c r="G24" s="231"/>
      <c r="H24" s="199"/>
      <c r="I24" s="19"/>
      <c r="J24" s="187"/>
      <c r="K24" s="188"/>
      <c r="L24" s="195"/>
      <c r="M24" s="198"/>
      <c r="N24" s="199"/>
      <c r="O24" s="19"/>
      <c r="P24" s="187"/>
      <c r="Q24" s="231"/>
      <c r="R24" s="199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2:29" ht="31.5" customHeight="1">
      <c r="B25" s="295"/>
      <c r="C25" s="230"/>
      <c r="D25" s="186"/>
      <c r="E25" s="296"/>
      <c r="F25" s="297" t="s">
        <v>156</v>
      </c>
      <c r="G25" s="230"/>
      <c r="H25" s="191"/>
      <c r="I25" s="20"/>
      <c r="J25" s="288" t="s">
        <v>135</v>
      </c>
      <c r="K25" s="186"/>
      <c r="L25" s="203">
        <f>COUNT(L10:L16)</f>
        <v>4</v>
      </c>
      <c r="M25" s="314" t="s">
        <v>157</v>
      </c>
      <c r="N25" s="230"/>
      <c r="O25" s="20"/>
      <c r="P25" s="238"/>
      <c r="Q25" s="230"/>
      <c r="R25" s="19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2:29" ht="31.5" customHeight="1">
      <c r="B26" s="187"/>
      <c r="C26" s="231"/>
      <c r="D26" s="188"/>
      <c r="E26" s="195"/>
      <c r="F26" s="298"/>
      <c r="G26" s="178"/>
      <c r="H26" s="151"/>
      <c r="I26" s="20"/>
      <c r="J26" s="187"/>
      <c r="K26" s="188"/>
      <c r="L26" s="195"/>
      <c r="M26" s="178"/>
      <c r="N26" s="178"/>
      <c r="O26" s="20"/>
      <c r="P26" s="187"/>
      <c r="Q26" s="231"/>
      <c r="R26" s="199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2:29" ht="31.5" customHeight="1">
      <c r="B27" s="295"/>
      <c r="C27" s="230"/>
      <c r="D27" s="186"/>
      <c r="E27" s="289"/>
      <c r="F27" s="298"/>
      <c r="G27" s="178"/>
      <c r="H27" s="151"/>
      <c r="I27" s="20"/>
      <c r="J27" s="315" t="s">
        <v>158</v>
      </c>
      <c r="K27" s="186"/>
      <c r="L27" s="241">
        <f>COUNT(M10:M16)</f>
        <v>1</v>
      </c>
      <c r="M27" s="178"/>
      <c r="N27" s="178"/>
      <c r="O27" s="20"/>
      <c r="P27" s="239"/>
      <c r="Q27" s="230"/>
      <c r="R27" s="19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2:29" ht="31.5" customHeight="1">
      <c r="B28" s="187"/>
      <c r="C28" s="231"/>
      <c r="D28" s="188"/>
      <c r="E28" s="195"/>
      <c r="F28" s="299"/>
      <c r="G28" s="231"/>
      <c r="H28" s="199"/>
      <c r="I28" s="40"/>
      <c r="J28" s="187"/>
      <c r="K28" s="188"/>
      <c r="L28" s="195"/>
      <c r="M28" s="178"/>
      <c r="N28" s="178"/>
      <c r="O28" s="20"/>
      <c r="P28" s="187"/>
      <c r="Q28" s="231"/>
      <c r="R28" s="199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2:29" ht="31.5" customHeight="1">
      <c r="B29" s="295"/>
      <c r="C29" s="230"/>
      <c r="D29" s="186"/>
      <c r="E29" s="289"/>
      <c r="F29" s="290" t="s">
        <v>159</v>
      </c>
      <c r="G29" s="291"/>
      <c r="H29" s="292"/>
      <c r="I29" s="40"/>
      <c r="J29" s="288" t="s">
        <v>160</v>
      </c>
      <c r="K29" s="186"/>
      <c r="L29" s="203">
        <v>0</v>
      </c>
      <c r="M29" s="178"/>
      <c r="N29" s="178"/>
      <c r="O29" s="40"/>
      <c r="P29" s="238"/>
      <c r="Q29" s="230"/>
      <c r="R29" s="19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2:29" ht="31.5" customHeight="1">
      <c r="B30" s="129"/>
      <c r="C30" s="141"/>
      <c r="D30" s="202"/>
      <c r="E30" s="204"/>
      <c r="F30" s="293"/>
      <c r="G30" s="141"/>
      <c r="H30" s="130"/>
      <c r="I30" s="40"/>
      <c r="J30" s="129"/>
      <c r="K30" s="202"/>
      <c r="L30" s="204"/>
      <c r="M30" s="141"/>
      <c r="N30" s="141"/>
      <c r="O30" s="40"/>
      <c r="P30" s="129"/>
      <c r="Q30" s="141"/>
      <c r="R30" s="130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2:29" ht="31.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2:29" ht="31.5" customHeight="1">
      <c r="B32" s="235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2:29" ht="15.7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2:29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2:29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2:29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2:29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2:29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2:29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2:29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2:29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2:29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2:29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2:29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2:29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2:29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2:29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2:29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2:29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2:29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2:29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2:29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2:29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2:29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2:29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2:29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2:29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2:29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2:29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2:29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2:29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2:29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2:29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2:29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2:29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2:29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2:29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2:29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2:29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2:29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2:29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2:29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2:29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2:29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2:29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2:29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2:29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2:29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2:29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2:29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2:29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2:29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2:29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2:29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2:29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2:29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2:29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2:29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2:29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2:29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2:29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2:29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2:29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2:29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2:29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2:29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2:29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2:29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2:29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2:29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2:29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2:29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2:29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2:29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2:29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2:29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2:29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2:29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2:29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2:29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2:29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2:29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2:29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2:29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2:29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2:29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2:29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2:29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2:29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2:29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2:29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2:29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2:29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2:29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2:29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2:29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2:29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2:29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2:29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2:29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2:29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2:29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2:29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2:29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2:29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2:29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2:29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2:29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2:29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2:29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2:29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2:29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2:29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2:29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2:29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2:29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2:29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2:29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2:29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2:29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2:29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2:29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2:29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2:29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2:29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2:29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2:29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2:29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2:29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2:29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2:29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2:29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2:29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2:29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2:29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2:29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2:29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2:29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2:29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2:29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2:29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2:29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2:29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2:29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2:29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2:29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2:29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2:29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2:29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2:29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2:29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2:29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2:29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2:29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2:29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2:29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2:29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2:29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2:29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2:29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2:29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2:29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2:29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2:29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2:29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2:29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2:29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2:29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2:29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2:29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2:29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2:29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2:29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2:29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2:29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2:29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2:29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2:29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2:29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2:29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2:29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2:29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2:29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2:29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2:29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2:29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2:29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2:29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2:29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2:29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2:29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2:29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2:29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2:29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2:29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2:29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2:29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2:29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2:29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2:29" ht="15.75" customHeight="1"/>
    <row r="231" spans="2:29" ht="15.75" customHeight="1"/>
    <row r="232" spans="2:29" ht="15.75" customHeight="1"/>
    <row r="233" spans="2:29" ht="15.75" customHeight="1"/>
    <row r="234" spans="2:29" ht="15.75" customHeight="1"/>
    <row r="235" spans="2:29" ht="15.75" customHeight="1"/>
    <row r="236" spans="2:29" ht="15.75" customHeight="1"/>
    <row r="237" spans="2:29" ht="15.75" customHeight="1"/>
    <row r="238" spans="2:29" ht="15.75" customHeight="1"/>
    <row r="239" spans="2:29" ht="15.75" customHeight="1"/>
    <row r="240" spans="2:2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1">
    <mergeCell ref="B3:J3"/>
    <mergeCell ref="K3:R3"/>
    <mergeCell ref="B6:C6"/>
    <mergeCell ref="D6:E6"/>
    <mergeCell ref="J6:K6"/>
    <mergeCell ref="L6:M6"/>
    <mergeCell ref="S6:T6"/>
    <mergeCell ref="H10:H11"/>
    <mergeCell ref="J10:J11"/>
    <mergeCell ref="K10:K11"/>
    <mergeCell ref="L10:L11"/>
    <mergeCell ref="M10:M11"/>
    <mergeCell ref="N10:N11"/>
    <mergeCell ref="P10:Q13"/>
    <mergeCell ref="R10:R13"/>
    <mergeCell ref="M12:M13"/>
    <mergeCell ref="N12:N13"/>
    <mergeCell ref="B8:H8"/>
    <mergeCell ref="J8:N8"/>
    <mergeCell ref="P8:R8"/>
    <mergeCell ref="B10:B11"/>
    <mergeCell ref="C10:C11"/>
    <mergeCell ref="D10:D11"/>
    <mergeCell ref="E10:E11"/>
    <mergeCell ref="G12:G13"/>
    <mergeCell ref="H12:H13"/>
    <mergeCell ref="J12:J13"/>
    <mergeCell ref="K12:K13"/>
    <mergeCell ref="L12:L13"/>
    <mergeCell ref="F10:F11"/>
    <mergeCell ref="G10:G11"/>
    <mergeCell ref="B12:B13"/>
    <mergeCell ref="C12:C13"/>
    <mergeCell ref="D12:D13"/>
    <mergeCell ref="E12:E13"/>
    <mergeCell ref="F12:F13"/>
    <mergeCell ref="B18:G18"/>
    <mergeCell ref="B20:D20"/>
    <mergeCell ref="F20:H20"/>
    <mergeCell ref="B21:D22"/>
    <mergeCell ref="J16:J17"/>
    <mergeCell ref="K16:K17"/>
    <mergeCell ref="J20:K20"/>
    <mergeCell ref="J21:K22"/>
    <mergeCell ref="L21:L22"/>
    <mergeCell ref="L16:L17"/>
    <mergeCell ref="E21:E22"/>
    <mergeCell ref="F21:H24"/>
    <mergeCell ref="E23:E24"/>
    <mergeCell ref="B14:B15"/>
    <mergeCell ref="C14:C15"/>
    <mergeCell ref="D14:D15"/>
    <mergeCell ref="E14:E15"/>
    <mergeCell ref="F14:F15"/>
    <mergeCell ref="G14:G15"/>
    <mergeCell ref="H14:H15"/>
    <mergeCell ref="B16:B17"/>
    <mergeCell ref="C16:C17"/>
    <mergeCell ref="D16:D17"/>
    <mergeCell ref="E16:E17"/>
    <mergeCell ref="F16:F17"/>
    <mergeCell ref="G16:G17"/>
    <mergeCell ref="H16:H17"/>
    <mergeCell ref="P14:Q17"/>
    <mergeCell ref="P18:Q18"/>
    <mergeCell ref="P20:R20"/>
    <mergeCell ref="P21:R22"/>
    <mergeCell ref="P23:R24"/>
    <mergeCell ref="P25:R26"/>
    <mergeCell ref="P27:R28"/>
    <mergeCell ref="P29:R30"/>
    <mergeCell ref="J14:J15"/>
    <mergeCell ref="K14:K15"/>
    <mergeCell ref="L14:L15"/>
    <mergeCell ref="M14:M15"/>
    <mergeCell ref="N14:N15"/>
    <mergeCell ref="R14:R17"/>
    <mergeCell ref="N16:N17"/>
    <mergeCell ref="M16:M17"/>
    <mergeCell ref="J18:M18"/>
    <mergeCell ref="M20:N20"/>
    <mergeCell ref="M21:N24"/>
    <mergeCell ref="L23:L24"/>
    <mergeCell ref="M25:N30"/>
    <mergeCell ref="J23:K24"/>
    <mergeCell ref="J27:K28"/>
    <mergeCell ref="L27:L28"/>
    <mergeCell ref="J25:K26"/>
    <mergeCell ref="L25:L26"/>
    <mergeCell ref="E29:E30"/>
    <mergeCell ref="F29:H30"/>
    <mergeCell ref="B32:R32"/>
    <mergeCell ref="B23:D24"/>
    <mergeCell ref="B25:D26"/>
    <mergeCell ref="E25:E26"/>
    <mergeCell ref="F25:H28"/>
    <mergeCell ref="B27:D28"/>
    <mergeCell ref="E27:E28"/>
    <mergeCell ref="B29:D30"/>
    <mergeCell ref="J29:K30"/>
    <mergeCell ref="L29:L30"/>
  </mergeCells>
  <printOptions horizontalCentered="1"/>
  <pageMargins left="0.25" right="0.25" top="0.75" bottom="0.75" header="0" footer="0"/>
  <pageSetup fitToHeight="0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DEVELOPMENT ONLY</vt:lpstr>
      <vt:lpstr>ACTIVEWEAR DEVELOPMENT</vt:lpstr>
      <vt:lpstr>DEV &amp; INSPECTION</vt:lpstr>
      <vt:lpstr>INSPECTION ONLY</vt:lpstr>
      <vt:lpstr>ADDITIONAL SAMPLES</vt:lpstr>
      <vt:lpstr>A LA CARTE</vt:lpstr>
      <vt:lpstr>PRODUCTION</vt:lpstr>
      <vt:lpstr>BLANKS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ESTÊVÃO SANTOS CAVALCANTE</cp:lastModifiedBy>
  <dcterms:created xsi:type="dcterms:W3CDTF">2024-04-04T17:06:43Z</dcterms:created>
  <dcterms:modified xsi:type="dcterms:W3CDTF">2025-11-28T18:42:20Z</dcterms:modified>
</cp:coreProperties>
</file>