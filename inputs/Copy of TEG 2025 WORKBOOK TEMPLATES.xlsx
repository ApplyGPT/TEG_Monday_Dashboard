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987A60F5-B3B4-4879-A95B-5089BE09974F}" xr6:coauthVersionLast="47" xr6:coauthVersionMax="47" xr10:uidLastSave="{00000000-0000-0000-0000-000000000000}"/>
  <bookViews>
    <workbookView xWindow="-120" yWindow="-120" windowWidth="20730" windowHeight="11310" tabRatio="722" xr2:uid="{00000000-000D-0000-FFFF-FFFF00000000}"/>
  </bookViews>
  <sheets>
    <sheet name="DEVELOPMENT ONLY" sheetId="1" r:id="rId1"/>
    <sheet name="ACTIVEWEAR DEVELOPMENT" sheetId="2" r:id="rId2"/>
    <sheet name="DEV &amp; INSPECTION" sheetId="9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Q6" i="6" l="1"/>
  <c r="F33" i="6"/>
  <c r="F31" i="6"/>
  <c r="F29" i="6"/>
  <c r="U27" i="6"/>
  <c r="F27" i="6"/>
  <c r="U25" i="6"/>
  <c r="F25" i="6"/>
  <c r="U23" i="6"/>
  <c r="F23" i="6"/>
  <c r="V18" i="6"/>
  <c r="Q18" i="6"/>
  <c r="V16" i="6"/>
  <c r="Q16" i="6"/>
  <c r="V14" i="6"/>
  <c r="Q14" i="6"/>
  <c r="V12" i="6"/>
  <c r="Q12" i="6"/>
  <c r="V10" i="6"/>
  <c r="Q10" i="6"/>
  <c r="AG20" i="9"/>
  <c r="AG18" i="9"/>
  <c r="AG16" i="9"/>
  <c r="AA29" i="9"/>
  <c r="AA27" i="9"/>
  <c r="AA25" i="9"/>
  <c r="AA23" i="9"/>
  <c r="AC18" i="9"/>
  <c r="AC16" i="9"/>
  <c r="AC14" i="9"/>
  <c r="AC12" i="9"/>
  <c r="AC10" i="9"/>
  <c r="D31" i="1"/>
  <c r="D31" i="9"/>
  <c r="Q35" i="9"/>
  <c r="Q33" i="9"/>
  <c r="Q31" i="9"/>
  <c r="Q29" i="9"/>
  <c r="Q27" i="9"/>
  <c r="Q25" i="9"/>
  <c r="Q23" i="9"/>
  <c r="AG6" i="9"/>
  <c r="F10" i="9"/>
  <c r="L10" i="9"/>
  <c r="W10" i="9"/>
  <c r="F12" i="9"/>
  <c r="F20" i="9" s="1"/>
  <c r="AG10" i="9" s="1"/>
  <c r="L12" i="9"/>
  <c r="L20" i="9" s="1"/>
  <c r="AG14" i="9" s="1"/>
  <c r="W12" i="9"/>
  <c r="F14" i="9"/>
  <c r="L14" i="9"/>
  <c r="W14" i="9"/>
  <c r="F16" i="9"/>
  <c r="L16" i="9"/>
  <c r="W16" i="9"/>
  <c r="F18" i="9"/>
  <c r="L18" i="9"/>
  <c r="W18" i="9"/>
  <c r="W20" i="9"/>
  <c r="AG12" i="9" s="1"/>
  <c r="J23" i="9"/>
  <c r="J25" i="9"/>
  <c r="J27" i="9"/>
  <c r="J29" i="9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7" i="1"/>
  <c r="J25" i="1"/>
  <c r="J23" i="1"/>
  <c r="K18" i="1"/>
  <c r="F18" i="1"/>
  <c r="K16" i="1"/>
  <c r="F16" i="1"/>
  <c r="K14" i="1"/>
  <c r="F14" i="1"/>
  <c r="K12" i="1"/>
  <c r="F12" i="1"/>
  <c r="K10" i="1"/>
  <c r="F10" i="1"/>
  <c r="P6" i="1"/>
  <c r="V20" i="6" l="1"/>
  <c r="Q20" i="6"/>
  <c r="AC20" i="9"/>
  <c r="K20" i="1"/>
  <c r="P12" i="1" s="1"/>
  <c r="P14" i="1" s="1"/>
  <c r="F20" i="1"/>
  <c r="P10" i="1" s="1"/>
  <c r="R18" i="8"/>
  <c r="C37" i="7"/>
  <c r="P14" i="2"/>
  <c r="S14" i="4"/>
  <c r="C33" i="7"/>
  <c r="C39" i="7" s="1"/>
  <c r="P19" i="1" l="1"/>
  <c r="C41" i="7"/>
</calcChain>
</file>

<file path=xl/sharedStrings.xml><?xml version="1.0" encoding="utf-8"?>
<sst xmlns="http://schemas.openxmlformats.org/spreadsheetml/2006/main" count="467" uniqueCount="191">
  <si>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</si>
  <si>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</si>
  <si>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</si>
  <si>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</si>
  <si>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</si>
  <si>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</si>
  <si>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</si>
  <si>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</si>
  <si>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</si>
  <si>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</si>
  <si>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</si>
  <si>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</si>
  <si>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</si>
  <si>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</si>
  <si>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</si>
  <si>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</si>
  <si>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</si>
  <si>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</si>
  <si>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</si>
  <si>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</si>
  <si>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</si>
  <si>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</si>
  <si>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</si>
  <si>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</si>
  <si>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</si>
  <si>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</si>
  <si>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</si>
  <si>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</si>
  <si>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</si>
  <si>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</si>
  <si>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</si>
  <si>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</si>
  <si>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</si>
  <si>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</si>
  <si>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</si>
  <si>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</si>
  <si>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</si>
  <si>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</si>
  <si>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</si>
  <si>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</si>
  <si>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</si>
  <si>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</si>
  <si>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</si>
  <si>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</si>
  <si>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</si>
  <si>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PHONE NUMBER</t>
  </si>
  <si>
    <t>(518) 424-1674</t>
  </si>
  <si>
    <t>INSPECTION &amp; DUPLICATE PACKAGE</t>
  </si>
  <si>
    <t>INTAKE</t>
  </si>
  <si>
    <t>INSPECTION</t>
  </si>
  <si>
    <t>FITTING</t>
  </si>
  <si>
    <t>1ST SAMPLE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</si>
  <si>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</si>
  <si>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</si>
  <si>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</si>
  <si>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</si>
  <si>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**UP TO 5 STYLES-CREDITED TOWARDS PRODUCTION</t>
  </si>
  <si>
    <t>**INSPECTION DOES NOT INCLUDE: GRADING, MARKING, FABRIC OR TRIM COSTS, FITTINGS OR REVISIONS, TREATMENTS, SHIPPING, OR BULK PRODUCTION INVENTORY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</si>
  <si>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</si>
  <si>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</si>
  <si>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</si>
  <si>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</si>
  <si>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</si>
  <si>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</si>
  <si>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</si>
  <si>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</si>
  <si>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</si>
  <si>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</si>
  <si>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</si>
  <si>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</si>
  <si>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</si>
  <si>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</si>
  <si>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</si>
  <si>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</si>
  <si>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</si>
  <si>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</si>
  <si>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</si>
  <si>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</si>
  <si>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>ADJUSTMENT $190/HR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</si>
  <si>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</si>
  <si>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</si>
  <si>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</si>
  <si>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</si>
  <si>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</si>
  <si>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</si>
  <si>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</si>
  <si>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</si>
  <si>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</si>
  <si>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</si>
  <si>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</si>
  <si>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</si>
  <si>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</si>
  <si>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</si>
  <si>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</si>
  <si>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</si>
  <si>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</si>
  <si>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</si>
  <si>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</si>
  <si>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</si>
  <si>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</si>
  <si>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</si>
  <si>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</si>
  <si>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</si>
  <si>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</si>
  <si>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</si>
  <si>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</si>
  <si>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</si>
  <si>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</si>
  <si>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</si>
  <si>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</si>
  <si>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</si>
  <si>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</si>
  <si>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</si>
  <si>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</si>
  <si>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</si>
  <si>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</si>
  <si>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</si>
  <si>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</si>
  <si>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</si>
  <si>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</si>
  <si>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</si>
  <si>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</si>
  <si>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</si>
  <si>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</si>
  <si>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</si>
  <si>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</si>
  <si>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</si>
  <si>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</si>
  <si>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</si>
  <si>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</si>
  <si>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</si>
  <si>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</si>
  <si>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</si>
  <si>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</si>
  <si>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</si>
  <si>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</si>
  <si>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</si>
  <si>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</si>
  <si>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</si>
  <si>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</si>
  <si>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</si>
  <si>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</si>
  <si>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</si>
  <si>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</si>
  <si>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</si>
  <si>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</si>
  <si>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</si>
  <si>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</si>
  <si>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</si>
  <si>
    <t>1ST PATTERN</t>
  </si>
  <si>
    <t>WEDDING GOWN #2</t>
  </si>
  <si>
    <t>DUPLICATES</t>
  </si>
  <si>
    <t>$90/HOUR</t>
  </si>
  <si>
    <t>THEA</t>
  </si>
  <si>
    <t>WEDDING GOWN #3</t>
  </si>
  <si>
    <t>WEDDING GOWN #4</t>
  </si>
  <si>
    <t>WEDDING GOWN #5</t>
  </si>
  <si>
    <t>PATTERNS</t>
  </si>
  <si>
    <t>**SOURCING ASSUMES MATERIALS ARE SHARED (IF ANY), CHANGES DURING THE PROCESS, WILL INCUR ADDITIONAL BILLING, TBD BY HOURS NEEDED</t>
  </si>
  <si>
    <t>SAMPLE $190/HR</t>
  </si>
  <si>
    <t>SAMPLE $90/HR</t>
  </si>
  <si>
    <t xml:space="preserve">**DEVELOPMENT DOES NOT INCLUDE: GRADING, MARKING, FABRIC OR TRIM COSTS, TREATMENTS, SHIPPING, OR BULK PRODUCTION INVENTORY	
</t>
  </si>
  <si>
    <t xml:space="preserve">TEGMADE, JUST FOR </t>
  </si>
  <si>
    <t>DISCOUNT (10%)</t>
  </si>
  <si>
    <t>TOTAL OPTIONAL ADD-ONS (A LA CARTE)</t>
  </si>
  <si>
    <t>OPTIONAL ADD-ONS (A LA CARTE)</t>
  </si>
  <si>
    <t>SUB-TOTAL</t>
  </si>
  <si>
    <t>INTAKE HOURS</t>
  </si>
  <si>
    <t>INTAKE TOTAL</t>
  </si>
  <si>
    <t>1ST PATTERN HOURS</t>
  </si>
  <si>
    <t>1ST PATTERN TOTAL</t>
  </si>
  <si>
    <t>1ST SAMPLE HOURS</t>
  </si>
  <si>
    <t>1ST SAMPLE TOTAL</t>
  </si>
  <si>
    <t>FITTING HOURS</t>
  </si>
  <si>
    <t>FITTING TOTAL</t>
  </si>
  <si>
    <t>ADJUSTMENT HOURS</t>
  </si>
  <si>
    <t>TEG TECH PACK</t>
  </si>
  <si>
    <t>COSTING WORKBOOK</t>
  </si>
  <si>
    <t>DYE TESTING</t>
  </si>
  <si>
    <t>INTAKE $215/HR</t>
  </si>
  <si>
    <t>PATTERN $215/HR</t>
  </si>
  <si>
    <t>SAMPLE $215/HR</t>
  </si>
  <si>
    <t>FITTING $215/HR</t>
  </si>
  <si>
    <t>ADJUSTMENT $215/HR</t>
  </si>
  <si>
    <t>ADJUSTMENT TOTAL</t>
  </si>
  <si>
    <t>FINAL SAMPLE HOURS</t>
  </si>
  <si>
    <t>FINAL SAMPLE TOTAL</t>
  </si>
  <si>
    <t>FINAL SAMPLE QUANTITY</t>
  </si>
  <si>
    <t>PATTERN RATE ($/HR):</t>
  </si>
  <si>
    <t>SEWING RATE ($/HR):</t>
  </si>
  <si>
    <t>FINAL SAMPLES $110/HOUR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</si>
</sst>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9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u/>
      <sz val="14"/>
      <color theme="10"/>
      <name val="Arial"/>
    </font>
    <font>
      <sz val="14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20"/>
      <color theme="1"/>
      <name val="Arial"/>
      <family val="2"/>
    </font>
    <font>
      <sz val="10"/>
      <color rgb="FF000000"/>
      <name val="Arial"/>
      <family val="2"/>
    </font>
    <font>
      <sz val="20"/>
      <color rgb="FF000000"/>
      <name val="Arial"/>
      <family val="2"/>
    </font>
    <font>
      <b/>
      <sz val="20"/>
      <color rgb="FF000000"/>
      <name val="Arial"/>
      <family val="2"/>
    </font>
    <font>
      <b/>
      <sz val="20"/>
      <color rgb="FF000000"/>
      <name val="&quot;Schibsted Grotesk&quot;"/>
    </font>
    <font>
      <sz val="20"/>
      <color theme="1"/>
      <name val="Arial"/>
      <family val="2"/>
      <scheme val="minor"/>
    </font>
    <font>
      <sz val="19"/>
      <color rgb="FF000000"/>
      <name val="Arial"/>
      <family val="2"/>
    </font>
    <font>
      <sz val="20"/>
      <color rgb="FF000000"/>
      <name val="&quot;Schibsted Grotesk&quot;"/>
    </font>
    <font>
      <sz val="10"/>
      <color rgb="FF000000"/>
      <name val="&quot;Schibsted Grotesk&quot;"/>
    </font>
    <font>
      <sz val="14"/>
      <color rgb="FF000000"/>
      <name val="&quot;Schibsted Grotesk&quot;"/>
    </font>
    <font>
      <u/>
      <sz val="20"/>
      <color rgb="FF1155CC"/>
      <name val="Arial"/>
      <family val="2"/>
    </font>
    <font>
      <u/>
      <sz val="20"/>
      <color theme="10"/>
      <name val="Arial"/>
      <family val="2"/>
    </font>
    <font>
      <u/>
      <sz val="14"/>
      <color theme="1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  <fill>
      <patternFill patternType="solid">
        <fgColor rgb="FFA07946"/>
        <bgColor rgb="FFA07946"/>
      </patternFill>
    </fill>
    <fill>
      <patternFill patternType="solid">
        <fgColor rgb="FF709171"/>
        <bgColor rgb="FFD5CFCB"/>
      </patternFill>
    </fill>
    <fill>
      <patternFill patternType="solid">
        <fgColor rgb="FF709171"/>
        <bgColor indexed="64"/>
      </patternFill>
    </fill>
    <fill>
      <patternFill patternType="solid">
        <fgColor rgb="FFF0CFBB"/>
        <bgColor indexed="64"/>
      </patternFill>
    </fill>
  </fills>
  <borders count="8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4" fillId="0" borderId="74"/>
  </cellStyleXfs>
  <cellXfs count="5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/>
    <xf numFmtId="0" fontId="19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18" fillId="0" borderId="0" xfId="0" applyFont="1"/>
    <xf numFmtId="0" fontId="8" fillId="0" borderId="5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4" fontId="22" fillId="0" borderId="6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4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0" fontId="27" fillId="11" borderId="5" xfId="0" applyFont="1" applyFill="1" applyBorder="1" applyAlignment="1">
      <alignment horizontal="center" vertical="center" wrapText="1"/>
    </xf>
    <xf numFmtId="0" fontId="28" fillId="8" borderId="40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165" fontId="27" fillId="11" borderId="5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8" borderId="5" xfId="0" applyFont="1" applyFill="1" applyBorder="1" applyAlignment="1">
      <alignment horizontal="center" vertical="center"/>
    </xf>
    <xf numFmtId="164" fontId="22" fillId="8" borderId="5" xfId="0" applyNumberFormat="1" applyFont="1" applyFill="1" applyBorder="1" applyAlignment="1">
      <alignment horizontal="center" vertical="center"/>
    </xf>
    <xf numFmtId="0" fontId="23" fillId="8" borderId="40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9" fontId="29" fillId="0" borderId="5" xfId="0" applyNumberFormat="1" applyFont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9" fontId="29" fillId="8" borderId="5" xfId="0" applyNumberFormat="1" applyFont="1" applyFill="1" applyBorder="1" applyAlignment="1">
      <alignment horizontal="center" vertical="center"/>
    </xf>
    <xf numFmtId="164" fontId="22" fillId="0" borderId="5" xfId="0" applyNumberFormat="1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64" fontId="22" fillId="5" borderId="5" xfId="0" applyNumberFormat="1" applyFont="1" applyFill="1" applyBorder="1" applyAlignment="1">
      <alignment horizontal="center" vertical="center"/>
    </xf>
    <xf numFmtId="9" fontId="29" fillId="5" borderId="5" xfId="0" applyNumberFormat="1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164" fontId="31" fillId="9" borderId="5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3" fillId="0" borderId="0" xfId="0" applyFont="1" applyAlignment="1">
      <alignment vertical="center" wrapText="1"/>
    </xf>
    <xf numFmtId="0" fontId="27" fillId="11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4" fillId="0" borderId="0" xfId="0" applyFont="1" applyAlignment="1">
      <alignment horizontal="center" vertical="center" wrapText="1"/>
    </xf>
    <xf numFmtId="168" fontId="22" fillId="0" borderId="5" xfId="0" applyNumberFormat="1" applyFont="1" applyBorder="1" applyAlignment="1">
      <alignment horizontal="center" vertical="center"/>
    </xf>
    <xf numFmtId="168" fontId="33" fillId="0" borderId="0" xfId="0" applyNumberFormat="1" applyFont="1" applyAlignment="1">
      <alignment horizontal="center" vertical="center"/>
    </xf>
    <xf numFmtId="166" fontId="33" fillId="0" borderId="0" xfId="0" applyNumberFormat="1" applyFont="1" applyAlignment="1">
      <alignment horizontal="center" vertical="center"/>
    </xf>
    <xf numFmtId="165" fontId="34" fillId="9" borderId="41" xfId="0" applyNumberFormat="1" applyFont="1" applyFill="1" applyBorder="1" applyAlignment="1">
      <alignment horizontal="center" vertical="center"/>
    </xf>
    <xf numFmtId="166" fontId="22" fillId="0" borderId="42" xfId="0" applyNumberFormat="1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8" fontId="37" fillId="9" borderId="5" xfId="0" applyNumberFormat="1" applyFont="1" applyFill="1" applyBorder="1" applyAlignment="1">
      <alignment horizontal="center" vertical="center"/>
    </xf>
    <xf numFmtId="165" fontId="38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9" fontId="22" fillId="9" borderId="43" xfId="0" applyNumberFormat="1" applyFont="1" applyFill="1" applyBorder="1" applyAlignment="1">
      <alignment horizontal="center" vertical="center"/>
    </xf>
    <xf numFmtId="169" fontId="40" fillId="12" borderId="43" xfId="0" applyNumberFormat="1" applyFont="1" applyFill="1" applyBorder="1" applyAlignment="1">
      <alignment horizontal="center" vertical="center"/>
    </xf>
    <xf numFmtId="169" fontId="41" fillId="13" borderId="43" xfId="0" applyNumberFormat="1" applyFont="1" applyFill="1" applyBorder="1" applyAlignment="1">
      <alignment horizontal="center" vertical="center"/>
    </xf>
    <xf numFmtId="169" fontId="21" fillId="14" borderId="39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164" fontId="33" fillId="0" borderId="0" xfId="0" applyNumberFormat="1" applyFont="1" applyAlignment="1">
      <alignment vertical="center"/>
    </xf>
    <xf numFmtId="9" fontId="3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164" fontId="43" fillId="0" borderId="0" xfId="0" applyNumberFormat="1" applyFont="1" applyAlignment="1">
      <alignment vertical="center"/>
    </xf>
    <xf numFmtId="164" fontId="24" fillId="0" borderId="0" xfId="0" applyNumberFormat="1" applyFont="1" applyAlignment="1">
      <alignment horizontal="center" vertical="center"/>
    </xf>
    <xf numFmtId="3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 wrapText="1"/>
    </xf>
    <xf numFmtId="0" fontId="9" fillId="5" borderId="44" xfId="0" applyFont="1" applyFill="1" applyBorder="1" applyAlignment="1">
      <alignment horizontal="center"/>
    </xf>
    <xf numFmtId="0" fontId="4" fillId="5" borderId="45" xfId="0" applyFont="1" applyFill="1" applyBorder="1" applyAlignment="1">
      <alignment horizontal="center"/>
    </xf>
    <xf numFmtId="0" fontId="4" fillId="5" borderId="46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4" fillId="5" borderId="44" xfId="0" applyFont="1" applyFill="1" applyBorder="1" applyAlignment="1">
      <alignment horizontal="center"/>
    </xf>
    <xf numFmtId="0" fontId="9" fillId="6" borderId="48" xfId="0" applyFont="1" applyFill="1" applyBorder="1" applyAlignment="1">
      <alignment horizontal="center"/>
    </xf>
    <xf numFmtId="0" fontId="9" fillId="6" borderId="49" xfId="0" applyFont="1" applyFill="1" applyBorder="1" applyAlignment="1">
      <alignment horizontal="center"/>
    </xf>
    <xf numFmtId="0" fontId="4" fillId="6" borderId="50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5" xfId="0" applyNumberFormat="1" applyFont="1" applyFill="1" applyBorder="1" applyAlignment="1">
      <alignment horizontal="center" vertical="center"/>
    </xf>
    <xf numFmtId="164" fontId="4" fillId="4" borderId="65" xfId="0" applyNumberFormat="1" applyFont="1" applyFill="1" applyBorder="1" applyAlignment="1">
      <alignment horizontal="center" vertical="center"/>
    </xf>
    <xf numFmtId="164" fontId="4" fillId="9" borderId="65" xfId="0" applyNumberFormat="1" applyFont="1" applyFill="1" applyBorder="1" applyAlignment="1">
      <alignment horizontal="center" vertical="center"/>
    </xf>
    <xf numFmtId="0" fontId="5" fillId="0" borderId="74" xfId="0" applyFont="1" applyBorder="1"/>
    <xf numFmtId="0" fontId="11" fillId="0" borderId="74" xfId="0" applyFont="1" applyBorder="1"/>
    <xf numFmtId="0" fontId="7" fillId="18" borderId="0" xfId="0" applyFont="1" applyFill="1" applyAlignment="1">
      <alignment horizontal="center"/>
    </xf>
    <xf numFmtId="0" fontId="9" fillId="18" borderId="0" xfId="0" applyFont="1" applyFill="1" applyAlignment="1">
      <alignment vertical="center"/>
    </xf>
    <xf numFmtId="0" fontId="4" fillId="8" borderId="74" xfId="0" applyFont="1" applyFill="1" applyBorder="1" applyAlignment="1">
      <alignment vertical="center"/>
    </xf>
    <xf numFmtId="0" fontId="44" fillId="0" borderId="74" xfId="1"/>
    <xf numFmtId="0" fontId="1" fillId="0" borderId="74" xfId="1" applyFont="1"/>
    <xf numFmtId="0" fontId="47" fillId="0" borderId="74" xfId="1" applyFont="1" applyAlignment="1">
      <alignment vertical="center"/>
    </xf>
    <xf numFmtId="0" fontId="9" fillId="0" borderId="74" xfId="1" applyFont="1"/>
    <xf numFmtId="0" fontId="51" fillId="0" borderId="74" xfId="1" applyFont="1"/>
    <xf numFmtId="0" fontId="50" fillId="4" borderId="5" xfId="1" applyFont="1" applyFill="1" applyBorder="1" applyAlignment="1">
      <alignment horizontal="center" vertical="center"/>
    </xf>
    <xf numFmtId="0" fontId="53" fillId="0" borderId="74" xfId="1" applyFont="1" applyAlignment="1">
      <alignment vertical="center"/>
    </xf>
    <xf numFmtId="0" fontId="50" fillId="3" borderId="5" xfId="1" applyFont="1" applyFill="1" applyBorder="1" applyAlignment="1">
      <alignment horizontal="center" vertical="center"/>
    </xf>
    <xf numFmtId="0" fontId="46" fillId="0" borderId="74" xfId="1" applyFont="1" applyAlignment="1">
      <alignment vertical="center"/>
    </xf>
    <xf numFmtId="0" fontId="54" fillId="0" borderId="74" xfId="1" applyFont="1" applyAlignment="1">
      <alignment vertical="center"/>
    </xf>
    <xf numFmtId="0" fontId="54" fillId="0" borderId="74" xfId="1" applyFont="1" applyAlignment="1">
      <alignment horizontal="center" vertical="center"/>
    </xf>
    <xf numFmtId="164" fontId="4" fillId="9" borderId="5" xfId="1" applyNumberFormat="1" applyFont="1" applyFill="1" applyBorder="1" applyAlignment="1">
      <alignment horizontal="left" vertical="center"/>
    </xf>
    <xf numFmtId="164" fontId="4" fillId="10" borderId="5" xfId="1" applyNumberFormat="1" applyFont="1" applyFill="1" applyBorder="1" applyAlignment="1">
      <alignment horizontal="center" vertical="center"/>
    </xf>
    <xf numFmtId="164" fontId="50" fillId="4" borderId="5" xfId="1" applyNumberFormat="1" applyFont="1" applyFill="1" applyBorder="1" applyAlignment="1">
      <alignment horizontal="center" vertical="center"/>
    </xf>
    <xf numFmtId="164" fontId="50" fillId="3" borderId="5" xfId="1" applyNumberFormat="1" applyFont="1" applyFill="1" applyBorder="1" applyAlignment="1">
      <alignment horizontal="center" vertical="center"/>
    </xf>
    <xf numFmtId="0" fontId="53" fillId="7" borderId="74" xfId="1" applyFont="1" applyFill="1" applyAlignment="1">
      <alignment vertical="center"/>
    </xf>
    <xf numFmtId="0" fontId="55" fillId="7" borderId="74" xfId="1" applyFont="1" applyFill="1" applyAlignment="1">
      <alignment horizontal="center" vertical="center"/>
    </xf>
    <xf numFmtId="0" fontId="4" fillId="6" borderId="5" xfId="1" applyFont="1" applyFill="1" applyBorder="1" applyAlignment="1">
      <alignment horizontal="left"/>
    </xf>
    <xf numFmtId="0" fontId="4" fillId="5" borderId="5" xfId="1" applyFont="1" applyFill="1" applyBorder="1" applyAlignment="1">
      <alignment horizontal="center" vertical="center"/>
    </xf>
    <xf numFmtId="0" fontId="9" fillId="5" borderId="5" xfId="1" applyFont="1" applyFill="1" applyBorder="1" applyAlignment="1">
      <alignment horizontal="center" vertical="center"/>
    </xf>
    <xf numFmtId="0" fontId="50" fillId="5" borderId="5" xfId="1" applyFont="1" applyFill="1" applyBorder="1" applyAlignment="1">
      <alignment horizontal="center" vertical="center"/>
    </xf>
    <xf numFmtId="0" fontId="53" fillId="0" borderId="74" xfId="1" applyFont="1" applyAlignment="1">
      <alignment horizontal="center" vertical="center"/>
    </xf>
    <xf numFmtId="0" fontId="50" fillId="5" borderId="5" xfId="1" applyFont="1" applyFill="1" applyBorder="1" applyAlignment="1">
      <alignment horizontal="left" vertical="center"/>
    </xf>
    <xf numFmtId="0" fontId="53" fillId="5" borderId="5" xfId="1" applyFont="1" applyFill="1" applyBorder="1" applyAlignment="1">
      <alignment horizontal="left" vertical="center"/>
    </xf>
    <xf numFmtId="14" fontId="4" fillId="0" borderId="5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7" fillId="0" borderId="74" xfId="1" applyFont="1"/>
    <xf numFmtId="0" fontId="57" fillId="0" borderId="6" xfId="1" applyFont="1" applyBorder="1" applyAlignment="1">
      <alignment horizontal="center" vertical="center"/>
    </xf>
    <xf numFmtId="0" fontId="58" fillId="0" borderId="74" xfId="1" applyFont="1" applyAlignment="1">
      <alignment vertical="center"/>
    </xf>
    <xf numFmtId="0" fontId="55" fillId="0" borderId="74" xfId="1" applyFont="1" applyAlignment="1">
      <alignment vertical="center"/>
    </xf>
    <xf numFmtId="0" fontId="4" fillId="10" borderId="5" xfId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/>
    </xf>
    <xf numFmtId="0" fontId="4" fillId="5" borderId="34" xfId="0" applyFont="1" applyFill="1" applyBorder="1" applyAlignment="1">
      <alignment horizontal="center"/>
    </xf>
    <xf numFmtId="0" fontId="11" fillId="18" borderId="0" xfId="0" applyFont="1" applyFill="1"/>
    <xf numFmtId="0" fontId="11" fillId="18" borderId="74" xfId="0" applyFont="1" applyFill="1" applyBorder="1"/>
    <xf numFmtId="0" fontId="0" fillId="18" borderId="0" xfId="0" applyFill="1"/>
    <xf numFmtId="0" fontId="0" fillId="18" borderId="74" xfId="0" applyFill="1" applyBorder="1"/>
    <xf numFmtId="0" fontId="5" fillId="18" borderId="74" xfId="0" applyFont="1" applyFill="1" applyBorder="1"/>
    <xf numFmtId="0" fontId="50" fillId="4" borderId="1" xfId="1" applyFont="1" applyFill="1" applyBorder="1" applyAlignment="1">
      <alignment horizontal="center" vertical="center"/>
    </xf>
    <xf numFmtId="0" fontId="50" fillId="4" borderId="81" xfId="1" applyFont="1" applyFill="1" applyBorder="1" applyAlignment="1">
      <alignment vertical="center"/>
    </xf>
    <xf numFmtId="0" fontId="45" fillId="18" borderId="74" xfId="1" applyFont="1" applyFill="1"/>
    <xf numFmtId="164" fontId="4" fillId="21" borderId="5" xfId="1" applyNumberFormat="1" applyFont="1" applyFill="1" applyBorder="1" applyAlignment="1">
      <alignment horizontal="center" vertical="center"/>
    </xf>
    <xf numFmtId="0" fontId="4" fillId="21" borderId="5" xfId="1" applyFont="1" applyFill="1" applyBorder="1" applyAlignment="1">
      <alignment horizontal="center" vertical="center"/>
    </xf>
    <xf numFmtId="0" fontId="4" fillId="17" borderId="8" xfId="0" applyFont="1" applyFill="1" applyBorder="1" applyAlignment="1">
      <alignment horizontal="center" vertical="center"/>
    </xf>
    <xf numFmtId="0" fontId="5" fillId="18" borderId="36" xfId="0" applyFont="1" applyFill="1" applyBorder="1" applyAlignment="1">
      <alignment horizontal="center"/>
    </xf>
    <xf numFmtId="0" fontId="5" fillId="18" borderId="11" xfId="0" applyFont="1" applyFill="1" applyBorder="1" applyAlignment="1">
      <alignment horizontal="center"/>
    </xf>
    <xf numFmtId="0" fontId="5" fillId="18" borderId="76" xfId="0" applyFont="1" applyFill="1" applyBorder="1" applyAlignment="1">
      <alignment horizontal="center"/>
    </xf>
    <xf numFmtId="0" fontId="8" fillId="17" borderId="81" xfId="0" applyFont="1" applyFill="1" applyBorder="1" applyAlignment="1">
      <alignment horizontal="center" vertical="center"/>
    </xf>
    <xf numFmtId="0" fontId="5" fillId="18" borderId="81" xfId="0" applyFont="1" applyFill="1" applyBorder="1"/>
    <xf numFmtId="0" fontId="4" fillId="19" borderId="8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left" vertical="center"/>
    </xf>
    <xf numFmtId="0" fontId="4" fillId="0" borderId="76" xfId="0" applyFont="1" applyBorder="1" applyAlignment="1">
      <alignment horizontal="left" vertical="center"/>
    </xf>
    <xf numFmtId="0" fontId="4" fillId="5" borderId="82" xfId="0" applyFont="1" applyFill="1" applyBorder="1" applyAlignment="1">
      <alignment horizontal="center"/>
    </xf>
    <xf numFmtId="164" fontId="8" fillId="18" borderId="81" xfId="0" applyNumberFormat="1" applyFont="1" applyFill="1" applyBorder="1" applyAlignment="1">
      <alignment horizontal="center" vertical="center"/>
    </xf>
    <xf numFmtId="164" fontId="8" fillId="19" borderId="81" xfId="0" applyNumberFormat="1" applyFont="1" applyFill="1" applyBorder="1" applyAlignment="1">
      <alignment horizontal="center" vertical="center"/>
    </xf>
    <xf numFmtId="164" fontId="4" fillId="4" borderId="83" xfId="0" applyNumberFormat="1" applyFont="1" applyFill="1" applyBorder="1" applyAlignment="1">
      <alignment horizontal="center" vertical="center"/>
    </xf>
    <xf numFmtId="0" fontId="10" fillId="18" borderId="81" xfId="0" applyFont="1" applyFill="1" applyBorder="1" applyAlignment="1">
      <alignment horizontal="center" vertical="center" wrapText="1"/>
    </xf>
    <xf numFmtId="0" fontId="8" fillId="19" borderId="81" xfId="0" applyFont="1" applyFill="1" applyBorder="1" applyAlignment="1">
      <alignment horizontal="center" vertical="center"/>
    </xf>
    <xf numFmtId="0" fontId="12" fillId="19" borderId="8" xfId="0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2" xfId="0" applyFont="1" applyFill="1" applyBorder="1" applyAlignment="1">
      <alignment horizontal="center"/>
    </xf>
    <xf numFmtId="3" fontId="8" fillId="19" borderId="81" xfId="0" applyNumberFormat="1" applyFont="1" applyFill="1" applyBorder="1" applyAlignment="1">
      <alignment horizontal="center" vertical="center"/>
    </xf>
    <xf numFmtId="0" fontId="12" fillId="17" borderId="8" xfId="0" applyFont="1" applyFill="1" applyBorder="1" applyAlignment="1">
      <alignment horizontal="center" vertical="center"/>
    </xf>
    <xf numFmtId="3" fontId="8" fillId="8" borderId="81" xfId="0" applyNumberFormat="1" applyFont="1" applyFill="1" applyBorder="1" applyAlignment="1">
      <alignment horizontal="center" vertical="center"/>
    </xf>
    <xf numFmtId="0" fontId="8" fillId="19" borderId="8" xfId="0" applyFont="1" applyFill="1" applyBorder="1" applyAlignment="1">
      <alignment horizontal="left" vertical="center" wrapText="1"/>
    </xf>
    <xf numFmtId="0" fontId="5" fillId="18" borderId="13" xfId="0" applyFont="1" applyFill="1" applyBorder="1"/>
    <xf numFmtId="0" fontId="5" fillId="18" borderId="9" xfId="0" applyFont="1" applyFill="1" applyBorder="1"/>
    <xf numFmtId="0" fontId="5" fillId="18" borderId="11" xfId="0" applyFont="1" applyFill="1" applyBorder="1"/>
    <xf numFmtId="0" fontId="5" fillId="18" borderId="16" xfId="0" applyFont="1" applyFill="1" applyBorder="1"/>
    <xf numFmtId="0" fontId="5" fillId="18" borderId="12" xfId="0" applyFont="1" applyFill="1" applyBorder="1"/>
    <xf numFmtId="0" fontId="4" fillId="2" borderId="1" xfId="0" applyFont="1" applyFill="1" applyBorder="1" applyAlignment="1">
      <alignment horizontal="left" vertical="center"/>
    </xf>
    <xf numFmtId="0" fontId="5" fillId="0" borderId="6" xfId="0" applyFont="1" applyBorder="1"/>
    <xf numFmtId="0" fontId="5" fillId="0" borderId="4" xfId="0" applyFont="1" applyBorder="1"/>
    <xf numFmtId="0" fontId="8" fillId="19" borderId="34" xfId="0" applyFont="1" applyFill="1" applyBorder="1" applyAlignment="1">
      <alignment horizontal="center" vertical="center"/>
    </xf>
    <xf numFmtId="0" fontId="5" fillId="18" borderId="62" xfId="0" applyFont="1" applyFill="1" applyBorder="1"/>
    <xf numFmtId="0" fontId="8" fillId="17" borderId="34" xfId="0" applyFont="1" applyFill="1" applyBorder="1" applyAlignment="1">
      <alignment horizontal="center" vertical="center"/>
    </xf>
    <xf numFmtId="0" fontId="8" fillId="18" borderId="34" xfId="0" applyFont="1" applyFill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left" vertical="center"/>
    </xf>
    <xf numFmtId="0" fontId="5" fillId="0" borderId="10" xfId="0" applyFont="1" applyBorder="1"/>
    <xf numFmtId="0" fontId="4" fillId="8" borderId="34" xfId="0" applyFont="1" applyFill="1" applyBorder="1" applyAlignment="1">
      <alignment horizontal="center" vertical="center"/>
    </xf>
    <xf numFmtId="0" fontId="5" fillId="18" borderId="35" xfId="0" applyFont="1" applyFill="1" applyBorder="1" applyAlignment="1">
      <alignment horizontal="center"/>
    </xf>
    <xf numFmtId="0" fontId="5" fillId="18" borderId="77" xfId="0" applyFont="1" applyFill="1" applyBorder="1" applyAlignment="1">
      <alignment horizontal="center"/>
    </xf>
    <xf numFmtId="0" fontId="5" fillId="18" borderId="78" xfId="0" applyFont="1" applyFill="1" applyBorder="1" applyAlignment="1">
      <alignment horizontal="center"/>
    </xf>
    <xf numFmtId="164" fontId="8" fillId="16" borderId="7" xfId="0" applyNumberFormat="1" applyFont="1" applyFill="1" applyBorder="1" applyAlignment="1">
      <alignment horizontal="left" vertical="center"/>
    </xf>
    <xf numFmtId="0" fontId="5" fillId="15" borderId="79" xfId="0" applyFont="1" applyFill="1" applyBorder="1" applyAlignment="1">
      <alignment horizontal="left"/>
    </xf>
    <xf numFmtId="0" fontId="8" fillId="18" borderId="8" xfId="0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0" fontId="5" fillId="0" borderId="35" xfId="0" applyFont="1" applyBorder="1"/>
    <xf numFmtId="0" fontId="4" fillId="0" borderId="81" xfId="0" applyFont="1" applyBorder="1" applyAlignment="1">
      <alignment horizontal="left" vertical="center"/>
    </xf>
    <xf numFmtId="164" fontId="4" fillId="9" borderId="8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3" borderId="34" xfId="0" applyFont="1" applyFill="1" applyBorder="1" applyAlignment="1">
      <alignment horizontal="left" vertical="center"/>
    </xf>
    <xf numFmtId="0" fontId="8" fillId="18" borderId="7" xfId="0" applyFont="1" applyFill="1" applyBorder="1" applyAlignment="1">
      <alignment horizontal="left" vertical="center"/>
    </xf>
    <xf numFmtId="0" fontId="5" fillId="18" borderId="10" xfId="0" applyFont="1" applyFill="1" applyBorder="1"/>
    <xf numFmtId="164" fontId="8" fillId="18" borderId="7" xfId="0" applyNumberFormat="1" applyFont="1" applyFill="1" applyBorder="1" applyAlignment="1">
      <alignment horizontal="center" vertical="center"/>
    </xf>
    <xf numFmtId="9" fontId="8" fillId="18" borderId="7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1" fillId="0" borderId="0" xfId="0" applyFont="1"/>
    <xf numFmtId="0" fontId="0" fillId="0" borderId="0" xfId="0"/>
    <xf numFmtId="0" fontId="8" fillId="19" borderId="7" xfId="0" applyFont="1" applyFill="1" applyBorder="1" applyAlignment="1">
      <alignment horizontal="left" vertical="center"/>
    </xf>
    <xf numFmtId="164" fontId="8" fillId="19" borderId="7" xfId="0" applyNumberFormat="1" applyFont="1" applyFill="1" applyBorder="1" applyAlignment="1">
      <alignment horizontal="center" vertical="center"/>
    </xf>
    <xf numFmtId="9" fontId="8" fillId="19" borderId="7" xfId="0" applyNumberFormat="1" applyFont="1" applyFill="1" applyBorder="1" applyAlignment="1">
      <alignment horizontal="center" vertical="center"/>
    </xf>
    <xf numFmtId="0" fontId="5" fillId="0" borderId="36" xfId="0" applyFont="1" applyBorder="1"/>
    <xf numFmtId="0" fontId="8" fillId="17" borderId="7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18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8" fillId="0" borderId="8" xfId="0" applyFont="1" applyBorder="1" applyAlignment="1">
      <alignment horizontal="left" vertical="center" wrapText="1"/>
    </xf>
    <xf numFmtId="0" fontId="5" fillId="0" borderId="13" xfId="0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16" xfId="0" applyFont="1" applyBorder="1"/>
    <xf numFmtId="0" fontId="5" fillId="0" borderId="12" xfId="0" applyFont="1" applyBorder="1"/>
    <xf numFmtId="0" fontId="8" fillId="5" borderId="8" xfId="0" applyFont="1" applyFill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/>
    </xf>
    <xf numFmtId="0" fontId="4" fillId="8" borderId="8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4" fontId="8" fillId="0" borderId="7" xfId="0" applyNumberFormat="1" applyFont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5" fillId="0" borderId="15" xfId="0" applyFont="1" applyBorder="1"/>
    <xf numFmtId="0" fontId="8" fillId="7" borderId="7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4" fillId="5" borderId="20" xfId="0" applyFont="1" applyFill="1" applyBorder="1" applyAlignment="1">
      <alignment horizontal="left" vertical="center"/>
    </xf>
    <xf numFmtId="0" fontId="12" fillId="5" borderId="8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12" fillId="7" borderId="8" xfId="0" applyFont="1" applyFill="1" applyBorder="1" applyAlignment="1">
      <alignment horizontal="left" vertical="center"/>
    </xf>
    <xf numFmtId="0" fontId="10" fillId="0" borderId="31" xfId="0" applyFont="1" applyBorder="1" applyAlignment="1">
      <alignment horizontal="left" vertical="center" wrapText="1"/>
    </xf>
    <xf numFmtId="0" fontId="5" fillId="0" borderId="24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5" fillId="0" borderId="27" xfId="0" applyFont="1" applyBorder="1"/>
    <xf numFmtId="0" fontId="10" fillId="0" borderId="23" xfId="0" applyFont="1" applyBorder="1" applyAlignment="1">
      <alignment horizontal="left" vertical="center" wrapText="1"/>
    </xf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9" fontId="8" fillId="0" borderId="7" xfId="0" applyNumberFormat="1" applyFont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4" fillId="0" borderId="34" xfId="1" applyFont="1" applyBorder="1" applyAlignment="1">
      <alignment horizontal="left" vertical="center" wrapText="1"/>
    </xf>
    <xf numFmtId="0" fontId="45" fillId="0" borderId="35" xfId="1" applyFont="1" applyBorder="1"/>
    <xf numFmtId="0" fontId="45" fillId="0" borderId="62" xfId="1" applyFont="1" applyBorder="1"/>
    <xf numFmtId="0" fontId="45" fillId="0" borderId="39" xfId="1" applyFont="1" applyBorder="1"/>
    <xf numFmtId="164" fontId="46" fillId="4" borderId="7" xfId="1" applyNumberFormat="1" applyFont="1" applyFill="1" applyBorder="1" applyAlignment="1">
      <alignment horizontal="left" vertical="center"/>
    </xf>
    <xf numFmtId="0" fontId="45" fillId="0" borderId="10" xfId="1" applyFont="1" applyBorder="1"/>
    <xf numFmtId="0" fontId="50" fillId="0" borderId="1" xfId="1" applyFont="1" applyBorder="1" applyAlignment="1">
      <alignment horizontal="left" vertical="center"/>
    </xf>
    <xf numFmtId="0" fontId="45" fillId="0" borderId="6" xfId="1" applyFont="1" applyBorder="1"/>
    <xf numFmtId="0" fontId="45" fillId="0" borderId="4" xfId="1" applyFont="1" applyBorder="1"/>
    <xf numFmtId="0" fontId="50" fillId="4" borderId="1" xfId="1" applyFont="1" applyFill="1" applyBorder="1" applyAlignment="1">
      <alignment horizontal="left" vertical="center"/>
    </xf>
    <xf numFmtId="0" fontId="50" fillId="4" borderId="6" xfId="1" applyFont="1" applyFill="1" applyBorder="1" applyAlignment="1">
      <alignment horizontal="left" vertical="center"/>
    </xf>
    <xf numFmtId="0" fontId="49" fillId="5" borderId="34" xfId="1" applyFont="1" applyFill="1" applyBorder="1" applyAlignment="1">
      <alignment horizontal="center" vertical="center"/>
    </xf>
    <xf numFmtId="0" fontId="48" fillId="5" borderId="38" xfId="1" applyFont="1" applyFill="1" applyBorder="1" applyAlignment="1">
      <alignment horizontal="center" vertical="center"/>
    </xf>
    <xf numFmtId="0" fontId="52" fillId="0" borderId="34" xfId="1" applyFont="1" applyBorder="1" applyAlignment="1">
      <alignment horizontal="left" vertical="center" wrapText="1"/>
    </xf>
    <xf numFmtId="0" fontId="45" fillId="0" borderId="14" xfId="1" applyFont="1" applyBorder="1"/>
    <xf numFmtId="0" fontId="45" fillId="0" borderId="75" xfId="1" applyFont="1" applyBorder="1"/>
    <xf numFmtId="0" fontId="49" fillId="7" borderId="34" xfId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center" vertical="center"/>
    </xf>
    <xf numFmtId="0" fontId="48" fillId="0" borderId="38" xfId="1" applyFont="1" applyBorder="1" applyAlignment="1">
      <alignment horizontal="center" vertical="center"/>
    </xf>
    <xf numFmtId="164" fontId="48" fillId="7" borderId="38" xfId="1" applyNumberFormat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left" vertical="center"/>
    </xf>
    <xf numFmtId="9" fontId="48" fillId="7" borderId="38" xfId="1" applyNumberFormat="1" applyFont="1" applyFill="1" applyBorder="1" applyAlignment="1">
      <alignment horizontal="center" vertical="center"/>
    </xf>
    <xf numFmtId="0" fontId="4" fillId="17" borderId="34" xfId="1" applyFont="1" applyFill="1" applyBorder="1" applyAlignment="1">
      <alignment horizontal="left" vertical="center"/>
    </xf>
    <xf numFmtId="0" fontId="45" fillId="18" borderId="36" xfId="1" applyFont="1" applyFill="1" applyBorder="1"/>
    <xf numFmtId="0" fontId="45" fillId="18" borderId="35" xfId="1" applyFont="1" applyFill="1" applyBorder="1"/>
    <xf numFmtId="0" fontId="45" fillId="18" borderId="62" xfId="1" applyFont="1" applyFill="1" applyBorder="1"/>
    <xf numFmtId="0" fontId="45" fillId="18" borderId="76" xfId="1" applyFont="1" applyFill="1" applyBorder="1"/>
    <xf numFmtId="0" fontId="45" fillId="18" borderId="39" xfId="1" applyFont="1" applyFill="1" applyBorder="1"/>
    <xf numFmtId="0" fontId="46" fillId="7" borderId="7" xfId="1" applyFont="1" applyFill="1" applyBorder="1" applyAlignment="1">
      <alignment horizontal="center" vertical="center"/>
    </xf>
    <xf numFmtId="0" fontId="48" fillId="7" borderId="7" xfId="1" applyFont="1" applyFill="1" applyBorder="1" applyAlignment="1">
      <alignment horizontal="center" vertical="center"/>
    </xf>
    <xf numFmtId="0" fontId="50" fillId="7" borderId="1" xfId="1" applyFont="1" applyFill="1" applyBorder="1" applyAlignment="1">
      <alignment horizontal="left" vertical="center"/>
    </xf>
    <xf numFmtId="0" fontId="50" fillId="3" borderId="1" xfId="1" applyFont="1" applyFill="1" applyBorder="1" applyAlignment="1">
      <alignment horizontal="left" vertical="center"/>
    </xf>
    <xf numFmtId="0" fontId="46" fillId="8" borderId="7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164" fontId="48" fillId="7" borderId="7" xfId="1" applyNumberFormat="1" applyFont="1" applyFill="1" applyBorder="1" applyAlignment="1">
      <alignment horizontal="center" vertical="center"/>
    </xf>
    <xf numFmtId="0" fontId="50" fillId="7" borderId="34" xfId="1" applyFont="1" applyFill="1" applyBorder="1" applyAlignment="1">
      <alignment horizontal="left" vertical="center"/>
    </xf>
    <xf numFmtId="164" fontId="48" fillId="20" borderId="7" xfId="1" applyNumberFormat="1" applyFont="1" applyFill="1" applyBorder="1" applyAlignment="1">
      <alignment horizontal="left" vertical="center"/>
    </xf>
    <xf numFmtId="0" fontId="1" fillId="0" borderId="74" xfId="1" applyFont="1"/>
    <xf numFmtId="0" fontId="44" fillId="0" borderId="74" xfId="1"/>
    <xf numFmtId="0" fontId="4" fillId="10" borderId="1" xfId="1" applyFont="1" applyFill="1" applyBorder="1" applyAlignment="1">
      <alignment vertical="center"/>
    </xf>
    <xf numFmtId="0" fontId="4" fillId="2" borderId="1" xfId="1" applyFont="1" applyFill="1" applyBorder="1" applyAlignment="1">
      <alignment horizontal="left" vertical="center"/>
    </xf>
    <xf numFmtId="0" fontId="9" fillId="6" borderId="1" xfId="1" applyFont="1" applyFill="1" applyBorder="1" applyAlignment="1">
      <alignment horizontal="center"/>
    </xf>
    <xf numFmtId="0" fontId="4" fillId="0" borderId="34" xfId="1" applyFont="1" applyBorder="1" applyAlignment="1">
      <alignment horizontal="left" vertical="center"/>
    </xf>
    <xf numFmtId="164" fontId="46" fillId="3" borderId="7" xfId="1" applyNumberFormat="1" applyFont="1" applyFill="1" applyBorder="1" applyAlignment="1">
      <alignment horizontal="left" vertical="center"/>
    </xf>
    <xf numFmtId="164" fontId="46" fillId="10" borderId="7" xfId="1" applyNumberFormat="1" applyFont="1" applyFill="1" applyBorder="1" applyAlignment="1">
      <alignment horizontal="left" vertical="center"/>
    </xf>
    <xf numFmtId="0" fontId="15" fillId="0" borderId="74" xfId="1" applyFont="1" applyAlignment="1">
      <alignment horizontal="left"/>
    </xf>
    <xf numFmtId="0" fontId="45" fillId="0" borderId="2" xfId="1" applyFont="1" applyBorder="1"/>
    <xf numFmtId="0" fontId="56" fillId="0" borderId="3" xfId="1" applyFont="1" applyBorder="1" applyAlignment="1">
      <alignment horizontal="center" vertical="center"/>
    </xf>
    <xf numFmtId="0" fontId="50" fillId="2" borderId="1" xfId="1" applyFont="1" applyFill="1" applyBorder="1" applyAlignment="1">
      <alignment horizontal="center" vertical="center"/>
    </xf>
    <xf numFmtId="0" fontId="56" fillId="0" borderId="6" xfId="1" applyFont="1" applyBorder="1" applyAlignment="1">
      <alignment horizontal="center" vertical="center"/>
    </xf>
    <xf numFmtId="0" fontId="45" fillId="0" borderId="80" xfId="1" applyFont="1" applyBorder="1"/>
    <xf numFmtId="0" fontId="48" fillId="0" borderId="6" xfId="1" applyFont="1" applyBorder="1" applyAlignment="1">
      <alignment horizontal="center" vertical="center"/>
    </xf>
    <xf numFmtId="0" fontId="2" fillId="0" borderId="74" xfId="1" applyFont="1" applyAlignment="1">
      <alignment horizontal="right"/>
    </xf>
    <xf numFmtId="0" fontId="4" fillId="19" borderId="34" xfId="1" applyFont="1" applyFill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46" fillId="7" borderId="34" xfId="1" applyFont="1" applyFill="1" applyBorder="1" applyAlignment="1">
      <alignment horizontal="center" vertical="center"/>
    </xf>
    <xf numFmtId="0" fontId="45" fillId="0" borderId="36" xfId="1" applyFont="1" applyBorder="1"/>
    <xf numFmtId="0" fontId="45" fillId="0" borderId="76" xfId="1" applyFont="1" applyBorder="1"/>
    <xf numFmtId="0" fontId="46" fillId="7" borderId="34" xfId="1" applyFont="1" applyFill="1" applyBorder="1" applyAlignment="1">
      <alignment horizontal="center" vertical="center" wrapText="1"/>
    </xf>
    <xf numFmtId="0" fontId="50" fillId="5" borderId="34" xfId="1" applyFont="1" applyFill="1" applyBorder="1" applyAlignment="1">
      <alignment horizontal="center" vertical="center"/>
    </xf>
    <xf numFmtId="3" fontId="46" fillId="19" borderId="7" xfId="1" applyNumberFormat="1" applyFont="1" applyFill="1" applyBorder="1" applyAlignment="1">
      <alignment horizontal="center" vertical="center"/>
    </xf>
    <xf numFmtId="0" fontId="45" fillId="18" borderId="10" xfId="1" applyFont="1" applyFill="1" applyBorder="1"/>
    <xf numFmtId="0" fontId="50" fillId="3" borderId="6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vertical="center"/>
    </xf>
    <xf numFmtId="0" fontId="46" fillId="19" borderId="34" xfId="1" applyFont="1" applyFill="1" applyBorder="1" applyAlignment="1">
      <alignment horizontal="center" vertical="center"/>
    </xf>
    <xf numFmtId="3" fontId="46" fillId="19" borderId="34" xfId="1" applyNumberFormat="1" applyFont="1" applyFill="1" applyBorder="1" applyAlignment="1">
      <alignment horizontal="center" vertical="center"/>
    </xf>
    <xf numFmtId="0" fontId="46" fillId="17" borderId="34" xfId="1" applyFont="1" applyFill="1" applyBorder="1" applyAlignment="1">
      <alignment horizontal="center" vertical="center"/>
    </xf>
    <xf numFmtId="0" fontId="46" fillId="17" borderId="7" xfId="1" applyFont="1" applyFill="1" applyBorder="1" applyAlignment="1">
      <alignment horizontal="center" vertical="center"/>
    </xf>
    <xf numFmtId="0" fontId="46" fillId="17" borderId="10" xfId="1" applyFont="1" applyFill="1" applyBorder="1" applyAlignment="1">
      <alignment horizontal="center" vertical="center"/>
    </xf>
    <xf numFmtId="3" fontId="46" fillId="19" borderId="10" xfId="1" applyNumberFormat="1" applyFont="1" applyFill="1" applyBorder="1" applyAlignment="1">
      <alignment horizontal="center" vertical="center"/>
    </xf>
    <xf numFmtId="0" fontId="50" fillId="7" borderId="34" xfId="1" applyFont="1" applyFill="1" applyBorder="1" applyAlignment="1">
      <alignment horizontal="center" vertical="center"/>
    </xf>
    <xf numFmtId="0" fontId="46" fillId="0" borderId="34" xfId="1" applyFont="1" applyBorder="1" applyAlignment="1">
      <alignment horizontal="left" vertical="center" wrapText="1"/>
    </xf>
    <xf numFmtId="0" fontId="4" fillId="2" borderId="34" xfId="0" applyFont="1" applyFill="1" applyBorder="1" applyAlignment="1">
      <alignment horizontal="center" vertical="center"/>
    </xf>
    <xf numFmtId="0" fontId="18" fillId="5" borderId="2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0" xfId="0" applyFont="1"/>
    <xf numFmtId="0" fontId="4" fillId="5" borderId="8" xfId="0" applyFont="1" applyFill="1" applyBorder="1" applyAlignment="1">
      <alignment horizontal="left" vertical="center"/>
    </xf>
    <xf numFmtId="0" fontId="12" fillId="5" borderId="20" xfId="0" applyFont="1" applyFill="1" applyBorder="1" applyAlignment="1">
      <alignment horizontal="left" vertical="center"/>
    </xf>
    <xf numFmtId="0" fontId="8" fillId="8" borderId="8" xfId="0" applyFont="1" applyFill="1" applyBorder="1" applyAlignment="1">
      <alignment horizontal="left" vertical="center" wrapText="1"/>
    </xf>
    <xf numFmtId="0" fontId="8" fillId="5" borderId="7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8" fillId="0" borderId="20" xfId="0" applyFont="1" applyBorder="1" applyAlignment="1">
      <alignment horizontal="center" vertical="center"/>
    </xf>
    <xf numFmtId="0" fontId="17" fillId="5" borderId="20" xfId="0" applyFont="1" applyFill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3" fontId="8" fillId="5" borderId="7" xfId="0" applyNumberFormat="1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left" vertical="center"/>
    </xf>
    <xf numFmtId="0" fontId="8" fillId="7" borderId="7" xfId="0" applyFont="1" applyFill="1" applyBorder="1" applyAlignment="1">
      <alignment horizontal="center" vertical="center"/>
    </xf>
    <xf numFmtId="0" fontId="12" fillId="7" borderId="20" xfId="0" applyFont="1" applyFill="1" applyBorder="1" applyAlignment="1">
      <alignment horizontal="left" vertical="center"/>
    </xf>
    <xf numFmtId="0" fontId="8" fillId="0" borderId="22" xfId="0" applyFont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164" fontId="20" fillId="0" borderId="7" xfId="0" applyNumberFormat="1" applyFont="1" applyBorder="1" applyAlignment="1">
      <alignment horizontal="center" vertical="center"/>
    </xf>
    <xf numFmtId="164" fontId="20" fillId="5" borderId="7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164" fontId="8" fillId="5" borderId="8" xfId="0" applyNumberFormat="1" applyFont="1" applyFill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45" fillId="18" borderId="81" xfId="1" applyFont="1" applyFill="1" applyBorder="1" applyAlignment="1">
      <alignment horizontal="center"/>
    </xf>
    <xf numFmtId="0" fontId="4" fillId="19" borderId="34" xfId="1" applyFont="1" applyFill="1" applyBorder="1" applyAlignment="1">
      <alignment horizontal="center" vertical="center"/>
    </xf>
    <xf numFmtId="0" fontId="4" fillId="19" borderId="36" xfId="1" applyFont="1" applyFill="1" applyBorder="1" applyAlignment="1">
      <alignment horizontal="center" vertical="center"/>
    </xf>
    <xf numFmtId="0" fontId="4" fillId="19" borderId="35" xfId="1" applyFont="1" applyFill="1" applyBorder="1" applyAlignment="1">
      <alignment horizontal="center" vertical="center"/>
    </xf>
    <xf numFmtId="0" fontId="4" fillId="19" borderId="62" xfId="1" applyFont="1" applyFill="1" applyBorder="1" applyAlignment="1">
      <alignment horizontal="center" vertical="center"/>
    </xf>
    <xf numFmtId="0" fontId="4" fillId="19" borderId="76" xfId="1" applyFont="1" applyFill="1" applyBorder="1" applyAlignment="1">
      <alignment horizontal="center" vertical="center"/>
    </xf>
    <xf numFmtId="0" fontId="4" fillId="19" borderId="39" xfId="1" applyFont="1" applyFill="1" applyBorder="1" applyAlignment="1">
      <alignment horizontal="center" vertical="center"/>
    </xf>
    <xf numFmtId="164" fontId="48" fillId="7" borderId="10" xfId="1" applyNumberFormat="1" applyFont="1" applyFill="1" applyBorder="1" applyAlignment="1">
      <alignment horizontal="center" vertical="center"/>
    </xf>
    <xf numFmtId="0" fontId="46" fillId="19" borderId="36" xfId="1" applyFont="1" applyFill="1" applyBorder="1" applyAlignment="1">
      <alignment horizontal="center" vertical="center"/>
    </xf>
    <xf numFmtId="0" fontId="46" fillId="19" borderId="35" xfId="1" applyFont="1" applyFill="1" applyBorder="1" applyAlignment="1">
      <alignment horizontal="center" vertical="center"/>
    </xf>
    <xf numFmtId="0" fontId="46" fillId="19" borderId="62" xfId="1" applyFont="1" applyFill="1" applyBorder="1" applyAlignment="1">
      <alignment horizontal="center" vertical="center"/>
    </xf>
    <xf numFmtId="0" fontId="46" fillId="19" borderId="76" xfId="1" applyFont="1" applyFill="1" applyBorder="1" applyAlignment="1">
      <alignment horizontal="center" vertical="center"/>
    </xf>
    <xf numFmtId="0" fontId="46" fillId="19" borderId="39" xfId="1" applyFont="1" applyFill="1" applyBorder="1" applyAlignment="1">
      <alignment horizontal="center" vertical="center"/>
    </xf>
    <xf numFmtId="0" fontId="48" fillId="18" borderId="74" xfId="1" applyFont="1" applyFill="1" applyAlignment="1">
      <alignment horizontal="center" vertical="center"/>
    </xf>
    <xf numFmtId="0" fontId="45" fillId="18" borderId="74" xfId="1" applyFont="1" applyFill="1"/>
    <xf numFmtId="0" fontId="49" fillId="19" borderId="74" xfId="1" applyFont="1" applyFill="1" applyAlignment="1">
      <alignment horizontal="center" vertical="center"/>
    </xf>
    <xf numFmtId="0" fontId="48" fillId="19" borderId="74" xfId="1" applyFont="1" applyFill="1" applyAlignment="1">
      <alignment horizontal="center" vertical="center"/>
    </xf>
    <xf numFmtId="0" fontId="4" fillId="17" borderId="34" xfId="1" applyFont="1" applyFill="1" applyBorder="1" applyAlignment="1">
      <alignment horizontal="center" vertical="center"/>
    </xf>
    <xf numFmtId="0" fontId="4" fillId="17" borderId="36" xfId="1" applyFont="1" applyFill="1" applyBorder="1" applyAlignment="1">
      <alignment horizontal="center" vertical="center"/>
    </xf>
    <xf numFmtId="0" fontId="4" fillId="17" borderId="35" xfId="1" applyFont="1" applyFill="1" applyBorder="1" applyAlignment="1">
      <alignment horizontal="center" vertical="center"/>
    </xf>
    <xf numFmtId="0" fontId="4" fillId="17" borderId="62" xfId="1" applyFont="1" applyFill="1" applyBorder="1" applyAlignment="1">
      <alignment horizontal="center" vertical="center"/>
    </xf>
    <xf numFmtId="0" fontId="4" fillId="17" borderId="76" xfId="1" applyFont="1" applyFill="1" applyBorder="1" applyAlignment="1">
      <alignment horizontal="center" vertical="center"/>
    </xf>
    <xf numFmtId="0" fontId="4" fillId="17" borderId="39" xfId="1" applyFont="1" applyFill="1" applyBorder="1" applyAlignment="1">
      <alignment horizontal="center" vertical="center"/>
    </xf>
    <xf numFmtId="0" fontId="4" fillId="21" borderId="1" xfId="1" applyFont="1" applyFill="1" applyBorder="1" applyAlignment="1">
      <alignment horizontal="center" vertical="center"/>
    </xf>
    <xf numFmtId="0" fontId="4" fillId="21" borderId="6" xfId="1" applyFont="1" applyFill="1" applyBorder="1" applyAlignment="1">
      <alignment horizontal="center" vertical="center"/>
    </xf>
    <xf numFmtId="0" fontId="4" fillId="21" borderId="4" xfId="1" applyFont="1" applyFill="1" applyBorder="1" applyAlignment="1">
      <alignment horizontal="center" vertical="center"/>
    </xf>
    <xf numFmtId="3" fontId="46" fillId="19" borderId="36" xfId="1" applyNumberFormat="1" applyFont="1" applyFill="1" applyBorder="1" applyAlignment="1">
      <alignment horizontal="center" vertical="center"/>
    </xf>
    <xf numFmtId="3" fontId="46" fillId="19" borderId="35" xfId="1" applyNumberFormat="1" applyFont="1" applyFill="1" applyBorder="1" applyAlignment="1">
      <alignment horizontal="center" vertical="center"/>
    </xf>
    <xf numFmtId="3" fontId="46" fillId="19" borderId="62" xfId="1" applyNumberFormat="1" applyFont="1" applyFill="1" applyBorder="1" applyAlignment="1">
      <alignment horizontal="center" vertical="center"/>
    </xf>
    <xf numFmtId="3" fontId="46" fillId="19" borderId="76" xfId="1" applyNumberFormat="1" applyFont="1" applyFill="1" applyBorder="1" applyAlignment="1">
      <alignment horizontal="center" vertical="center"/>
    </xf>
    <xf numFmtId="3" fontId="46" fillId="19" borderId="39" xfId="1" applyNumberFormat="1" applyFont="1" applyFill="1" applyBorder="1" applyAlignment="1">
      <alignment horizontal="center" vertical="center"/>
    </xf>
    <xf numFmtId="0" fontId="46" fillId="17" borderId="36" xfId="1" applyFont="1" applyFill="1" applyBorder="1" applyAlignment="1">
      <alignment horizontal="center" vertical="center"/>
    </xf>
    <xf numFmtId="0" fontId="46" fillId="17" borderId="35" xfId="1" applyFont="1" applyFill="1" applyBorder="1" applyAlignment="1">
      <alignment horizontal="center" vertical="center"/>
    </xf>
    <xf numFmtId="0" fontId="46" fillId="17" borderId="62" xfId="1" applyFont="1" applyFill="1" applyBorder="1" applyAlignment="1">
      <alignment horizontal="center" vertical="center"/>
    </xf>
    <xf numFmtId="0" fontId="46" fillId="17" borderId="76" xfId="1" applyFont="1" applyFill="1" applyBorder="1" applyAlignment="1">
      <alignment horizontal="center" vertical="center"/>
    </xf>
    <xf numFmtId="0" fontId="46" fillId="17" borderId="39" xfId="1" applyFont="1" applyFill="1" applyBorder="1" applyAlignment="1">
      <alignment horizontal="center" vertical="center"/>
    </xf>
    <xf numFmtId="0" fontId="48" fillId="7" borderId="10" xfId="1" applyFont="1" applyFill="1" applyBorder="1" applyAlignment="1">
      <alignment horizontal="center" vertical="center"/>
    </xf>
    <xf numFmtId="0" fontId="46" fillId="19" borderId="7" xfId="1" applyFont="1" applyFill="1" applyBorder="1" applyAlignment="1">
      <alignment horizontal="center" vertical="center"/>
    </xf>
    <xf numFmtId="0" fontId="46" fillId="7" borderId="36" xfId="1" applyFont="1" applyFill="1" applyBorder="1" applyAlignment="1">
      <alignment horizontal="center" vertical="center" wrapText="1"/>
    </xf>
    <xf numFmtId="0" fontId="46" fillId="7" borderId="35" xfId="1" applyFont="1" applyFill="1" applyBorder="1" applyAlignment="1">
      <alignment horizontal="center" vertical="center" wrapText="1"/>
    </xf>
    <xf numFmtId="0" fontId="46" fillId="7" borderId="14" xfId="1" applyFont="1" applyFill="1" applyBorder="1" applyAlignment="1">
      <alignment horizontal="center" vertical="center" wrapText="1"/>
    </xf>
    <xf numFmtId="0" fontId="46" fillId="7" borderId="74" xfId="1" applyFont="1" applyFill="1" applyAlignment="1">
      <alignment horizontal="center" vertical="center" wrapText="1"/>
    </xf>
    <xf numFmtId="0" fontId="46" fillId="7" borderId="75" xfId="1" applyFont="1" applyFill="1" applyBorder="1" applyAlignment="1">
      <alignment horizontal="center" vertical="center" wrapText="1"/>
    </xf>
    <xf numFmtId="0" fontId="46" fillId="7" borderId="62" xfId="1" applyFont="1" applyFill="1" applyBorder="1" applyAlignment="1">
      <alignment horizontal="center" vertical="center" wrapText="1"/>
    </xf>
    <xf numFmtId="0" fontId="46" fillId="7" borderId="76" xfId="1" applyFont="1" applyFill="1" applyBorder="1" applyAlignment="1">
      <alignment horizontal="center" vertical="center" wrapText="1"/>
    </xf>
    <xf numFmtId="0" fontId="46" fillId="7" borderId="39" xfId="1" applyFont="1" applyFill="1" applyBorder="1" applyAlignment="1">
      <alignment horizontal="center" vertical="center" wrapText="1"/>
    </xf>
    <xf numFmtId="0" fontId="4" fillId="7" borderId="6" xfId="1" applyFont="1" applyFill="1" applyBorder="1" applyAlignment="1">
      <alignment vertical="center"/>
    </xf>
    <xf numFmtId="0" fontId="4" fillId="7" borderId="4" xfId="1" applyFont="1" applyFill="1" applyBorder="1" applyAlignment="1">
      <alignment vertical="center"/>
    </xf>
    <xf numFmtId="0" fontId="45" fillId="23" borderId="4" xfId="1" applyFont="1" applyFill="1" applyBorder="1"/>
    <xf numFmtId="0" fontId="49" fillId="19" borderId="34" xfId="1" applyFont="1" applyFill="1" applyBorder="1" applyAlignment="1">
      <alignment horizontal="center" vertical="center"/>
    </xf>
    <xf numFmtId="0" fontId="48" fillId="19" borderId="14" xfId="1" applyFont="1" applyFill="1" applyBorder="1" applyAlignment="1">
      <alignment horizontal="center" vertical="center"/>
    </xf>
    <xf numFmtId="0" fontId="45" fillId="18" borderId="34" xfId="1" applyFont="1" applyFill="1" applyBorder="1" applyAlignment="1">
      <alignment horizontal="center"/>
    </xf>
    <xf numFmtId="0" fontId="45" fillId="18" borderId="36" xfId="1" applyFont="1" applyFill="1" applyBorder="1" applyAlignment="1">
      <alignment horizontal="center"/>
    </xf>
    <xf numFmtId="0" fontId="45" fillId="18" borderId="35" xfId="1" applyFont="1" applyFill="1" applyBorder="1" applyAlignment="1">
      <alignment horizontal="center"/>
    </xf>
    <xf numFmtId="0" fontId="45" fillId="18" borderId="14" xfId="1" applyFont="1" applyFill="1" applyBorder="1" applyAlignment="1">
      <alignment horizontal="center"/>
    </xf>
    <xf numFmtId="0" fontId="45" fillId="18" borderId="74" xfId="1" applyFont="1" applyFill="1" applyAlignment="1">
      <alignment horizontal="center"/>
    </xf>
    <xf numFmtId="0" fontId="45" fillId="18" borderId="75" xfId="1" applyFont="1" applyFill="1" applyBorder="1" applyAlignment="1">
      <alignment horizontal="center"/>
    </xf>
    <xf numFmtId="0" fontId="45" fillId="18" borderId="62" xfId="1" applyFont="1" applyFill="1" applyBorder="1" applyAlignment="1">
      <alignment horizontal="center"/>
    </xf>
    <xf numFmtId="0" fontId="45" fillId="18" borderId="76" xfId="1" applyFont="1" applyFill="1" applyBorder="1" applyAlignment="1">
      <alignment horizontal="center"/>
    </xf>
    <xf numFmtId="0" fontId="45" fillId="18" borderId="39" xfId="1" applyFont="1" applyFill="1" applyBorder="1" applyAlignment="1">
      <alignment horizontal="center"/>
    </xf>
    <xf numFmtId="0" fontId="49" fillId="17" borderId="74" xfId="1" applyFont="1" applyFill="1" applyAlignment="1">
      <alignment horizontal="center" vertical="center"/>
    </xf>
    <xf numFmtId="0" fontId="49" fillId="17" borderId="34" xfId="1" applyFont="1" applyFill="1" applyBorder="1" applyAlignment="1">
      <alignment horizontal="center" vertical="center"/>
    </xf>
    <xf numFmtId="0" fontId="45" fillId="18" borderId="14" xfId="1" applyFont="1" applyFill="1" applyBorder="1"/>
    <xf numFmtId="0" fontId="45" fillId="18" borderId="75" xfId="1" applyFont="1" applyFill="1" applyBorder="1"/>
    <xf numFmtId="0" fontId="48" fillId="17" borderId="14" xfId="1" applyFont="1" applyFill="1" applyBorder="1" applyAlignment="1">
      <alignment horizontal="center" vertical="center"/>
    </xf>
    <xf numFmtId="0" fontId="49" fillId="17" borderId="81" xfId="1" applyFont="1" applyFill="1" applyBorder="1" applyAlignment="1">
      <alignment horizontal="center" vertical="center"/>
    </xf>
    <xf numFmtId="0" fontId="45" fillId="18" borderId="81" xfId="1" applyFont="1" applyFill="1" applyBorder="1"/>
    <xf numFmtId="0" fontId="48" fillId="19" borderId="84" xfId="1" applyFont="1" applyFill="1" applyBorder="1" applyAlignment="1">
      <alignment horizontal="center" vertical="center"/>
    </xf>
    <xf numFmtId="0" fontId="45" fillId="18" borderId="84" xfId="1" applyFont="1" applyFill="1" applyBorder="1"/>
    <xf numFmtId="0" fontId="4" fillId="21" borderId="1" xfId="1" applyFont="1" applyFill="1" applyBorder="1" applyAlignment="1">
      <alignment vertical="center"/>
    </xf>
    <xf numFmtId="0" fontId="45" fillId="22" borderId="6" xfId="1" applyFont="1" applyFill="1" applyBorder="1"/>
    <xf numFmtId="0" fontId="45" fillId="22" borderId="4" xfId="1" applyFont="1" applyFill="1" applyBorder="1"/>
    <xf numFmtId="0" fontId="45" fillId="23" borderId="6" xfId="1" applyFont="1" applyFill="1" applyBorder="1"/>
    <xf numFmtId="169" fontId="21" fillId="0" borderId="11" xfId="0" applyNumberFormat="1" applyFont="1" applyBorder="1" applyAlignment="1">
      <alignment horizontal="right" vertical="center"/>
    </xf>
    <xf numFmtId="169" fontId="22" fillId="0" borderId="14" xfId="0" applyNumberFormat="1" applyFont="1" applyBorder="1" applyAlignment="1">
      <alignment horizontal="right" vertical="center"/>
    </xf>
    <xf numFmtId="169" fontId="21" fillId="0" borderId="14" xfId="0" applyNumberFormat="1" applyFont="1" applyBorder="1" applyAlignment="1">
      <alignment horizontal="right" vertical="center"/>
    </xf>
    <xf numFmtId="169" fontId="22" fillId="0" borderId="11" xfId="0" applyNumberFormat="1" applyFont="1" applyBorder="1" applyAlignment="1">
      <alignment horizontal="center" vertical="center"/>
    </xf>
    <xf numFmtId="169" fontId="21" fillId="5" borderId="1" xfId="0" applyNumberFormat="1" applyFont="1" applyFill="1" applyBorder="1" applyAlignment="1">
      <alignment horizontal="right" vertical="center"/>
    </xf>
    <xf numFmtId="0" fontId="39" fillId="0" borderId="0" xfId="0" applyFont="1" applyAlignment="1">
      <alignment horizontal="center" vertical="center"/>
    </xf>
    <xf numFmtId="169" fontId="22" fillId="0" borderId="14" xfId="0" applyNumberFormat="1" applyFont="1" applyBorder="1" applyAlignment="1">
      <alignment horizontal="center" vertical="center"/>
    </xf>
    <xf numFmtId="164" fontId="22" fillId="0" borderId="7" xfId="0" applyNumberFormat="1" applyFont="1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right" vertical="center"/>
    </xf>
    <xf numFmtId="0" fontId="27" fillId="0" borderId="1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27" fillId="11" borderId="1" xfId="0" applyFont="1" applyFill="1" applyBorder="1" applyAlignment="1">
      <alignment horizontal="center" vertical="center"/>
    </xf>
    <xf numFmtId="168" fontId="22" fillId="0" borderId="8" xfId="0" applyNumberFormat="1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5" fillId="0" borderId="76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0" xfId="0" applyFont="1" applyFill="1" applyBorder="1" applyAlignment="1">
      <alignment horizontal="center" vertical="center" wrapText="1"/>
    </xf>
    <xf numFmtId="0" fontId="5" fillId="0" borderId="71" xfId="0" applyFont="1" applyBorder="1"/>
    <xf numFmtId="0" fontId="5" fillId="0" borderId="72" xfId="0" applyFont="1" applyBorder="1"/>
    <xf numFmtId="0" fontId="4" fillId="0" borderId="20" xfId="0" applyFont="1" applyBorder="1" applyAlignment="1">
      <alignment horizontal="center" vertical="center" wrapText="1"/>
    </xf>
    <xf numFmtId="0" fontId="5" fillId="0" borderId="60" xfId="0" applyFont="1" applyBorder="1"/>
    <xf numFmtId="0" fontId="4" fillId="0" borderId="66" xfId="0" applyFont="1" applyBorder="1" applyAlignment="1">
      <alignment horizontal="center" vertical="center"/>
    </xf>
    <xf numFmtId="0" fontId="5" fillId="0" borderId="67" xfId="0" applyFont="1" applyBorder="1"/>
    <xf numFmtId="164" fontId="8" fillId="0" borderId="51" xfId="0" applyNumberFormat="1" applyFont="1" applyBorder="1" applyAlignment="1">
      <alignment horizontal="center" vertical="center"/>
    </xf>
    <xf numFmtId="0" fontId="5" fillId="0" borderId="54" xfId="0" applyFont="1" applyBorder="1"/>
    <xf numFmtId="164" fontId="8" fillId="0" borderId="22" xfId="0" applyNumberFormat="1" applyFont="1" applyBorder="1" applyAlignment="1">
      <alignment horizontal="center" vertical="center"/>
    </xf>
    <xf numFmtId="164" fontId="8" fillId="0" borderId="52" xfId="0" applyNumberFormat="1" applyFont="1" applyBorder="1" applyAlignment="1">
      <alignment horizontal="center" vertical="center"/>
    </xf>
    <xf numFmtId="0" fontId="5" fillId="0" borderId="55" xfId="0" applyFont="1" applyBorder="1"/>
    <xf numFmtId="164" fontId="8" fillId="4" borderId="52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164" fontId="8" fillId="5" borderId="52" xfId="0" applyNumberFormat="1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164" fontId="8" fillId="5" borderId="57" xfId="0" applyNumberFormat="1" applyFont="1" applyFill="1" applyBorder="1" applyAlignment="1">
      <alignment horizontal="center" vertical="center"/>
    </xf>
    <xf numFmtId="0" fontId="5" fillId="0" borderId="58" xfId="0" applyFont="1" applyBorder="1"/>
    <xf numFmtId="0" fontId="4" fillId="7" borderId="62" xfId="0" applyFont="1" applyFill="1" applyBorder="1" applyAlignment="1">
      <alignment horizontal="center" vertical="center"/>
    </xf>
    <xf numFmtId="0" fontId="5" fillId="0" borderId="63" xfId="0" applyFont="1" applyBorder="1"/>
    <xf numFmtId="0" fontId="5" fillId="0" borderId="64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68" xfId="0" applyFont="1" applyBorder="1"/>
    <xf numFmtId="0" fontId="4" fillId="3" borderId="6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164" fontId="8" fillId="5" borderId="51" xfId="0" applyNumberFormat="1" applyFont="1" applyFill="1" applyBorder="1" applyAlignment="1">
      <alignment horizontal="center" vertical="center"/>
    </xf>
    <xf numFmtId="3" fontId="10" fillId="8" borderId="70" xfId="0" applyNumberFormat="1" applyFont="1" applyFill="1" applyBorder="1" applyAlignment="1">
      <alignment horizontal="center" vertical="center" wrapText="1"/>
    </xf>
    <xf numFmtId="164" fontId="8" fillId="3" borderId="53" xfId="0" applyNumberFormat="1" applyFont="1" applyFill="1" applyBorder="1" applyAlignment="1">
      <alignment horizontal="center" vertical="center"/>
    </xf>
    <xf numFmtId="0" fontId="5" fillId="0" borderId="56" xfId="0" applyFont="1" applyBorder="1"/>
    <xf numFmtId="0" fontId="5" fillId="0" borderId="59" xfId="0" applyFont="1" applyBorder="1"/>
    <xf numFmtId="0" fontId="4" fillId="3" borderId="34" xfId="0" applyFont="1" applyFill="1" applyBorder="1" applyAlignment="1">
      <alignment horizontal="center" vertical="center"/>
    </xf>
    <xf numFmtId="0" fontId="4" fillId="5" borderId="5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C848E849-E3A8-4054-B59C-47821D87231F}"/>
  </cellStyles>
  <dxfs count="0"/>
  <tableStyles count="0" defaultTableStyle="TableStyleMedium2" defaultPivotStyle="PivotStyleLight16"/>
  <colors>
    <mruColors>
      <color rgb="FFF0F0EE"/>
      <color rgb="FFF0CFBB"/>
      <color rgb="FF709171"/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abSelected="1" zoomScale="55" zoomScaleNormal="55"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9" width="25.85546875" customWidth="1"/>
    <col min="10" max="10" width="30.140625" customWidth="1"/>
    <col min="11" max="11" width="16.28515625" customWidth="1"/>
    <col min="12" max="12" width="13.71093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222" t="s">
        <v>0</v>
      </c>
      <c r="C3" s="213"/>
      <c r="D3" s="213"/>
      <c r="E3" s="213"/>
      <c r="F3" s="213"/>
      <c r="G3" s="213"/>
      <c r="H3" s="213"/>
      <c r="I3" s="213"/>
      <c r="J3" s="223" t="s">
        <v>1</v>
      </c>
      <c r="K3" s="213"/>
      <c r="L3" s="213"/>
      <c r="M3" s="213"/>
      <c r="N3" s="213"/>
      <c r="O3" s="213"/>
      <c r="P3" s="213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224" t="s">
        <v>2</v>
      </c>
      <c r="C6" s="225"/>
      <c r="D6" s="226"/>
      <c r="E6" s="186"/>
      <c r="F6" s="3"/>
      <c r="G6" s="3"/>
      <c r="H6" s="224" t="s">
        <v>3</v>
      </c>
      <c r="I6" s="225"/>
      <c r="J6" s="227" t="s">
        <v>4</v>
      </c>
      <c r="K6" s="186"/>
      <c r="L6" s="3"/>
      <c r="M6" s="3"/>
      <c r="N6" s="3"/>
      <c r="O6" s="4" t="s">
        <v>5</v>
      </c>
      <c r="P6" s="5">
        <f ca="1">TODAY()</f>
        <v>46059</v>
      </c>
      <c r="Q6" s="212"/>
      <c r="R6" s="213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205" t="s">
        <v>6</v>
      </c>
      <c r="C8" s="185"/>
      <c r="D8" s="185"/>
      <c r="E8" s="185"/>
      <c r="F8" s="186"/>
      <c r="G8" s="6"/>
      <c r="H8" s="211" t="s">
        <v>7</v>
      </c>
      <c r="I8" s="185"/>
      <c r="J8" s="185"/>
      <c r="K8" s="217"/>
      <c r="L8" s="202"/>
      <c r="M8" s="6"/>
      <c r="N8" s="184" t="s">
        <v>8</v>
      </c>
      <c r="O8" s="185"/>
      <c r="P8" s="186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145" t="s">
        <v>14</v>
      </c>
      <c r="I9" s="145" t="s">
        <v>15</v>
      </c>
      <c r="J9" s="146" t="s">
        <v>17</v>
      </c>
      <c r="K9" s="166" t="s">
        <v>13</v>
      </c>
      <c r="L9" s="166"/>
      <c r="M9" s="10"/>
      <c r="N9" s="220"/>
      <c r="O9" s="186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18">
        <v>101</v>
      </c>
      <c r="C10" s="207" t="s">
        <v>18</v>
      </c>
      <c r="D10" s="209">
        <v>2325</v>
      </c>
      <c r="E10" s="210"/>
      <c r="F10" s="209">
        <f>(D10*E10)+D10</f>
        <v>2325</v>
      </c>
      <c r="G10" s="110"/>
      <c r="H10" s="167"/>
      <c r="I10" s="167"/>
      <c r="J10" s="167"/>
      <c r="K10" s="167">
        <f>SUM(H10:J10)</f>
        <v>0</v>
      </c>
      <c r="L10" s="167"/>
      <c r="M10" s="110"/>
      <c r="N10" s="221" t="s">
        <v>19</v>
      </c>
      <c r="O10" s="173"/>
      <c r="P10" s="219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208"/>
      <c r="C11" s="208"/>
      <c r="D11" s="208"/>
      <c r="E11" s="208"/>
      <c r="F11" s="208"/>
      <c r="G11" s="110"/>
      <c r="H11" s="162"/>
      <c r="I11" s="162"/>
      <c r="J11" s="162"/>
      <c r="K11" s="167"/>
      <c r="L11" s="167"/>
      <c r="M11" s="110"/>
      <c r="N11" s="159"/>
      <c r="O11" s="174"/>
      <c r="P11" s="193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14">
        <v>102</v>
      </c>
      <c r="C12" s="214" t="s">
        <v>20</v>
      </c>
      <c r="D12" s="215">
        <v>2325</v>
      </c>
      <c r="E12" s="216">
        <v>0.75</v>
      </c>
      <c r="F12" s="215">
        <f>(D12*E12)+D12</f>
        <v>4068.75</v>
      </c>
      <c r="G12" s="110"/>
      <c r="H12" s="168">
        <v>1330</v>
      </c>
      <c r="I12" s="168">
        <v>1330</v>
      </c>
      <c r="J12" s="168"/>
      <c r="K12" s="168">
        <f>SUM(H12:J12)</f>
        <v>2660</v>
      </c>
      <c r="L12" s="168"/>
      <c r="M12" s="110"/>
      <c r="N12" s="191" t="s">
        <v>21</v>
      </c>
      <c r="O12" s="173"/>
      <c r="P12" s="192">
        <f>K20</f>
        <v>4750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208"/>
      <c r="C13" s="208"/>
      <c r="D13" s="208"/>
      <c r="E13" s="208"/>
      <c r="F13" s="208"/>
      <c r="G13" s="110"/>
      <c r="H13" s="162"/>
      <c r="I13" s="162"/>
      <c r="J13" s="162"/>
      <c r="K13" s="168"/>
      <c r="L13" s="168"/>
      <c r="M13" s="110"/>
      <c r="N13" s="159"/>
      <c r="O13" s="174"/>
      <c r="P13" s="193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218">
        <v>103</v>
      </c>
      <c r="C14" s="207" t="s">
        <v>22</v>
      </c>
      <c r="D14" s="209">
        <v>2325</v>
      </c>
      <c r="E14" s="210"/>
      <c r="F14" s="209">
        <f>(D14*E14)+D14</f>
        <v>2325</v>
      </c>
      <c r="G14" s="111"/>
      <c r="H14" s="167"/>
      <c r="I14" s="167"/>
      <c r="J14" s="167"/>
      <c r="K14" s="167">
        <f>SUM(H14:J14)</f>
        <v>0</v>
      </c>
      <c r="L14" s="167"/>
      <c r="M14" s="111"/>
      <c r="N14" s="191" t="s">
        <v>166</v>
      </c>
      <c r="O14" s="173"/>
      <c r="P14" s="192">
        <f>SUM(P10:P13)</f>
        <v>18700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208"/>
      <c r="C15" s="208"/>
      <c r="D15" s="208"/>
      <c r="E15" s="208"/>
      <c r="F15" s="208"/>
      <c r="G15" s="111"/>
      <c r="H15" s="162"/>
      <c r="I15" s="162"/>
      <c r="J15" s="162"/>
      <c r="K15" s="167"/>
      <c r="L15" s="167"/>
      <c r="M15" s="111"/>
      <c r="N15" s="159"/>
      <c r="O15" s="174"/>
      <c r="P15" s="193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14">
        <v>104</v>
      </c>
      <c r="C16" s="214" t="s">
        <v>23</v>
      </c>
      <c r="D16" s="215">
        <v>2325</v>
      </c>
      <c r="E16" s="216">
        <v>0.25</v>
      </c>
      <c r="F16" s="215">
        <f>(D16*E16)+D16</f>
        <v>2906.25</v>
      </c>
      <c r="G16" s="111"/>
      <c r="H16" s="168">
        <v>1330</v>
      </c>
      <c r="I16" s="171"/>
      <c r="J16" s="168">
        <v>760</v>
      </c>
      <c r="K16" s="168">
        <f>SUM(H16:J16)</f>
        <v>2090</v>
      </c>
      <c r="L16" s="168"/>
      <c r="M16" s="111"/>
      <c r="N16" s="194" t="s">
        <v>148</v>
      </c>
      <c r="O16" s="195"/>
      <c r="P16" s="198">
        <v>760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08"/>
      <c r="C17" s="208"/>
      <c r="D17" s="208"/>
      <c r="E17" s="208"/>
      <c r="F17" s="208"/>
      <c r="G17" s="111"/>
      <c r="H17" s="162"/>
      <c r="I17" s="162"/>
      <c r="J17" s="162"/>
      <c r="K17" s="168"/>
      <c r="L17" s="168"/>
      <c r="M17" s="111"/>
      <c r="N17" s="196"/>
      <c r="O17" s="197"/>
      <c r="P17" s="199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18">
        <v>105</v>
      </c>
      <c r="C18" s="207" t="s">
        <v>24</v>
      </c>
      <c r="D18" s="209">
        <v>2325</v>
      </c>
      <c r="E18" s="210"/>
      <c r="F18" s="209">
        <f>(D18*E18)+D18</f>
        <v>2325</v>
      </c>
      <c r="G18" s="111"/>
      <c r="H18" s="167"/>
      <c r="I18" s="167"/>
      <c r="J18" s="167"/>
      <c r="K18" s="167">
        <f>SUM(H18:J18)</f>
        <v>0</v>
      </c>
      <c r="L18" s="167"/>
      <c r="M18" s="111"/>
      <c r="N18" s="112"/>
      <c r="O18" s="112"/>
      <c r="P18" s="112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08"/>
      <c r="C19" s="208"/>
      <c r="D19" s="208"/>
      <c r="E19" s="208"/>
      <c r="F19" s="208"/>
      <c r="G19" s="111"/>
      <c r="H19" s="162"/>
      <c r="I19" s="162"/>
      <c r="J19" s="162"/>
      <c r="K19" s="167"/>
      <c r="L19" s="167"/>
      <c r="M19" s="111"/>
      <c r="N19" s="203" t="s">
        <v>25</v>
      </c>
      <c r="O19" s="203"/>
      <c r="P19" s="204">
        <f>SUM(P10:P13)-P16</f>
        <v>17940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28" t="s">
        <v>19</v>
      </c>
      <c r="C20" s="185"/>
      <c r="D20" s="185"/>
      <c r="E20" s="186"/>
      <c r="F20" s="14">
        <f>SUM(F10:F19)</f>
        <v>13950</v>
      </c>
      <c r="G20" s="13"/>
      <c r="H20" s="164" t="s">
        <v>21</v>
      </c>
      <c r="I20" s="165"/>
      <c r="J20" s="165"/>
      <c r="K20" s="169">
        <f>SUM(K10:K19)</f>
        <v>4750</v>
      </c>
      <c r="L20" s="169"/>
      <c r="M20" s="13"/>
      <c r="N20" s="203"/>
      <c r="O20" s="203"/>
      <c r="P20" s="204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05" t="s">
        <v>26</v>
      </c>
      <c r="C22" s="186"/>
      <c r="D22" s="144" t="s">
        <v>9</v>
      </c>
      <c r="E22" s="206" t="s">
        <v>27</v>
      </c>
      <c r="F22" s="202"/>
      <c r="G22" s="6"/>
      <c r="H22" s="211" t="s">
        <v>26</v>
      </c>
      <c r="I22" s="186"/>
      <c r="J22" s="18" t="s">
        <v>9</v>
      </c>
      <c r="K22" s="201" t="s">
        <v>27</v>
      </c>
      <c r="L22" s="202"/>
      <c r="M22" s="6"/>
      <c r="N22" s="184" t="s">
        <v>28</v>
      </c>
      <c r="O22" s="185"/>
      <c r="P22" s="186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63" t="s">
        <v>29</v>
      </c>
      <c r="C23" s="158"/>
      <c r="D23" s="175">
        <v>5</v>
      </c>
      <c r="E23" s="170" t="s">
        <v>30</v>
      </c>
      <c r="F23" s="170"/>
      <c r="G23" s="147"/>
      <c r="H23" s="172" t="s">
        <v>31</v>
      </c>
      <c r="I23" s="173"/>
      <c r="J23" s="187">
        <f>COUNT(H10:H19)</f>
        <v>2</v>
      </c>
      <c r="K23" s="170" t="s">
        <v>32</v>
      </c>
      <c r="L23" s="170"/>
      <c r="M23" s="147"/>
      <c r="N23" s="178"/>
      <c r="O23" s="179"/>
      <c r="P23" s="180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59"/>
      <c r="C24" s="160"/>
      <c r="D24" s="162"/>
      <c r="E24" s="170"/>
      <c r="F24" s="170"/>
      <c r="G24" s="147"/>
      <c r="H24" s="159"/>
      <c r="I24" s="174"/>
      <c r="J24" s="188"/>
      <c r="K24" s="170"/>
      <c r="L24" s="170"/>
      <c r="M24" s="147"/>
      <c r="N24" s="181"/>
      <c r="O24" s="182"/>
      <c r="P24" s="183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57" t="s">
        <v>33</v>
      </c>
      <c r="C25" s="158"/>
      <c r="D25" s="177">
        <v>5</v>
      </c>
      <c r="E25" s="170"/>
      <c r="F25" s="170"/>
      <c r="G25" s="147"/>
      <c r="H25" s="176" t="s">
        <v>15</v>
      </c>
      <c r="I25" s="173"/>
      <c r="J25" s="189">
        <f>COUNT(I10:I13)</f>
        <v>1</v>
      </c>
      <c r="K25" s="170"/>
      <c r="L25" s="170"/>
      <c r="M25" s="147"/>
      <c r="N25" s="200"/>
      <c r="O25" s="179"/>
      <c r="P25" s="180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59"/>
      <c r="C26" s="160"/>
      <c r="D26" s="162"/>
      <c r="E26" s="170"/>
      <c r="F26" s="170"/>
      <c r="G26" s="147"/>
      <c r="H26" s="159"/>
      <c r="I26" s="174"/>
      <c r="J26" s="188"/>
      <c r="K26" s="170"/>
      <c r="L26" s="170"/>
      <c r="M26" s="147"/>
      <c r="N26" s="181"/>
      <c r="O26" s="182"/>
      <c r="P26" s="183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63" t="s">
        <v>34</v>
      </c>
      <c r="C27" s="158"/>
      <c r="D27" s="171">
        <v>1</v>
      </c>
      <c r="E27" s="170"/>
      <c r="F27" s="170"/>
      <c r="G27" s="148"/>
      <c r="H27" s="176" t="s">
        <v>17</v>
      </c>
      <c r="I27" s="173"/>
      <c r="J27" s="190">
        <f>COUNT(J10:J19)</f>
        <v>1</v>
      </c>
      <c r="K27" s="170"/>
      <c r="L27" s="170"/>
      <c r="M27" s="147"/>
      <c r="N27" s="178"/>
      <c r="O27" s="179"/>
      <c r="P27" s="180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59"/>
      <c r="C28" s="160"/>
      <c r="D28" s="162"/>
      <c r="E28" s="170"/>
      <c r="F28" s="170"/>
      <c r="G28" s="148"/>
      <c r="H28" s="159"/>
      <c r="I28" s="174"/>
      <c r="J28" s="188"/>
      <c r="K28" s="170"/>
      <c r="L28" s="170"/>
      <c r="M28" s="147"/>
      <c r="N28" s="181"/>
      <c r="O28" s="182"/>
      <c r="P28" s="183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157" t="s">
        <v>37</v>
      </c>
      <c r="C29" s="158"/>
      <c r="D29" s="161">
        <v>1</v>
      </c>
      <c r="E29" s="170" t="s">
        <v>35</v>
      </c>
      <c r="F29" s="170"/>
      <c r="G29" s="148"/>
      <c r="H29" s="172" t="s">
        <v>39</v>
      </c>
      <c r="I29" s="173"/>
      <c r="J29" s="187">
        <v>0</v>
      </c>
      <c r="K29" s="170"/>
      <c r="L29" s="170"/>
      <c r="M29" s="147"/>
      <c r="N29" s="200"/>
      <c r="O29" s="179"/>
      <c r="P29" s="180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59"/>
      <c r="C30" s="160"/>
      <c r="D30" s="162"/>
      <c r="E30" s="170"/>
      <c r="F30" s="170"/>
      <c r="G30" s="148"/>
      <c r="H30" s="159"/>
      <c r="I30" s="174"/>
      <c r="J30" s="188"/>
      <c r="K30" s="170"/>
      <c r="L30" s="170"/>
      <c r="M30" s="147"/>
      <c r="N30" s="181"/>
      <c r="O30" s="182"/>
      <c r="P30" s="183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163" t="s">
        <v>38</v>
      </c>
      <c r="C31" s="158"/>
      <c r="D31" s="175">
        <f>D23</f>
        <v>5</v>
      </c>
      <c r="E31" s="170"/>
      <c r="F31" s="170"/>
      <c r="G31" s="148"/>
      <c r="H31" s="149"/>
      <c r="I31" s="149"/>
      <c r="J31" s="150"/>
      <c r="K31" s="151"/>
      <c r="L31" s="151"/>
      <c r="M31" s="147"/>
      <c r="N31" s="178"/>
      <c r="O31" s="179"/>
      <c r="P31" s="180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59"/>
      <c r="C32" s="160"/>
      <c r="D32" s="162"/>
      <c r="E32" s="170"/>
      <c r="F32" s="170"/>
      <c r="G32" s="148"/>
      <c r="H32" s="149"/>
      <c r="I32" s="149"/>
      <c r="J32" s="150"/>
      <c r="K32" s="151"/>
      <c r="L32" s="151"/>
      <c r="M32" s="147"/>
      <c r="N32" s="181"/>
      <c r="O32" s="182"/>
      <c r="P32" s="183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57" t="s">
        <v>176</v>
      </c>
      <c r="C33" s="158"/>
      <c r="D33" s="161">
        <v>5</v>
      </c>
      <c r="E33" s="170"/>
      <c r="F33" s="170"/>
      <c r="G33" s="148"/>
      <c r="H33" s="151"/>
      <c r="I33" s="151"/>
      <c r="J33" s="151"/>
      <c r="K33" s="151"/>
      <c r="L33" s="151"/>
      <c r="M33" s="147"/>
      <c r="N33" s="151"/>
      <c r="O33" s="151"/>
      <c r="P33" s="15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59"/>
      <c r="C34" s="160"/>
      <c r="D34" s="162"/>
      <c r="E34" s="170"/>
      <c r="F34" s="170"/>
      <c r="G34" s="148"/>
      <c r="H34" s="151"/>
      <c r="I34" s="151"/>
      <c r="J34" s="151"/>
      <c r="K34" s="151"/>
      <c r="L34" s="151"/>
      <c r="M34" s="147"/>
      <c r="N34" s="151"/>
      <c r="O34" s="151"/>
      <c r="P34" s="15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63" t="s">
        <v>177</v>
      </c>
      <c r="C35" s="158"/>
      <c r="D35" s="161">
        <v>5</v>
      </c>
      <c r="E35" s="170"/>
      <c r="F35" s="170"/>
      <c r="G35" s="148"/>
      <c r="H35" s="151"/>
      <c r="I35" s="151"/>
      <c r="J35" s="151"/>
      <c r="K35" s="151"/>
      <c r="L35" s="151"/>
      <c r="M35" s="147"/>
      <c r="N35" s="151"/>
      <c r="O35" s="151"/>
      <c r="P35" s="15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59"/>
      <c r="C36" s="160"/>
      <c r="D36" s="162"/>
      <c r="E36" s="170"/>
      <c r="F36" s="170"/>
      <c r="G36" s="148"/>
      <c r="H36" s="149"/>
      <c r="I36" s="149"/>
      <c r="J36" s="149"/>
      <c r="K36" s="151"/>
      <c r="L36" s="151"/>
      <c r="M36" s="147"/>
      <c r="N36" s="151"/>
      <c r="O36" s="151"/>
      <c r="P36" s="15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51"/>
      <c r="C37" s="151"/>
      <c r="D37" s="151"/>
      <c r="E37" s="151"/>
      <c r="F37" s="151"/>
      <c r="G37" s="148"/>
      <c r="H37" s="149"/>
      <c r="I37" s="149"/>
      <c r="J37" s="149"/>
      <c r="K37" s="151"/>
      <c r="L37" s="151"/>
      <c r="M37" s="147"/>
      <c r="N37" s="151"/>
      <c r="O37" s="151"/>
      <c r="P37" s="15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08"/>
      <c r="C38" s="108"/>
      <c r="D38" s="108"/>
      <c r="E38" s="108"/>
      <c r="F38" s="108"/>
      <c r="G38" s="109"/>
      <c r="K38" s="108"/>
      <c r="L38" s="108"/>
      <c r="M38" s="19"/>
      <c r="N38" s="108"/>
      <c r="O38" s="108"/>
      <c r="P38" s="108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08"/>
      <c r="C39" s="108"/>
      <c r="D39" s="108"/>
      <c r="E39" s="108"/>
      <c r="F39" s="108"/>
      <c r="G39" s="109"/>
      <c r="K39" s="108"/>
      <c r="L39" s="108"/>
      <c r="M39" s="19"/>
      <c r="N39" s="108"/>
      <c r="O39" s="108"/>
      <c r="P39" s="108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08"/>
      <c r="C40" s="108"/>
      <c r="D40" s="108"/>
      <c r="E40" s="108"/>
      <c r="F40" s="108"/>
      <c r="G40" s="109"/>
      <c r="H40" s="108"/>
      <c r="I40" s="108"/>
      <c r="J40" s="108"/>
      <c r="K40" s="108"/>
      <c r="L40" s="108"/>
      <c r="M40" s="19"/>
      <c r="N40" s="108"/>
      <c r="O40" s="108"/>
      <c r="P40" s="108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08"/>
      <c r="C41" s="108"/>
      <c r="D41" s="108"/>
      <c r="E41" s="108"/>
      <c r="F41" s="108"/>
      <c r="G41" s="109"/>
      <c r="H41" s="108"/>
      <c r="I41" s="108"/>
      <c r="J41" s="108"/>
      <c r="K41" s="108"/>
      <c r="L41" s="108"/>
      <c r="M41" s="19"/>
      <c r="N41" s="108"/>
      <c r="O41" s="108"/>
      <c r="P41" s="108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08"/>
      <c r="C42" s="108"/>
      <c r="D42" s="108"/>
      <c r="E42" s="108"/>
      <c r="F42" s="108"/>
      <c r="G42" s="109"/>
      <c r="H42" s="108"/>
      <c r="I42" s="108"/>
      <c r="J42" s="108"/>
      <c r="K42" s="108"/>
      <c r="L42" s="108"/>
      <c r="M42" s="19"/>
      <c r="N42" s="108"/>
      <c r="O42" s="108"/>
      <c r="P42" s="108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08"/>
      <c r="C43" s="108"/>
      <c r="D43" s="108"/>
      <c r="E43" s="108"/>
      <c r="F43" s="108"/>
      <c r="G43" s="109"/>
      <c r="H43" s="108"/>
      <c r="I43" s="108"/>
      <c r="J43" s="108"/>
      <c r="K43" s="108"/>
      <c r="L43" s="108"/>
      <c r="M43" s="19"/>
      <c r="N43" s="108"/>
      <c r="O43" s="108"/>
      <c r="P43" s="108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08"/>
      <c r="C44" s="108"/>
      <c r="D44" s="108"/>
      <c r="E44" s="108"/>
      <c r="F44" s="108"/>
      <c r="G44" s="109"/>
      <c r="H44" s="108"/>
      <c r="I44" s="108"/>
      <c r="J44" s="108"/>
      <c r="K44" s="108"/>
      <c r="L44" s="108"/>
      <c r="M44" s="19"/>
      <c r="N44" s="108"/>
      <c r="O44" s="108"/>
      <c r="P44" s="108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08"/>
      <c r="C45" s="108"/>
      <c r="D45" s="108"/>
      <c r="E45" s="108"/>
      <c r="F45" s="108"/>
      <c r="G45" s="109"/>
      <c r="H45" s="108"/>
      <c r="I45" s="108"/>
      <c r="J45" s="108"/>
      <c r="K45" s="108"/>
      <c r="L45" s="108"/>
      <c r="M45" s="19"/>
      <c r="N45" s="108"/>
      <c r="O45" s="108"/>
      <c r="P45" s="108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08"/>
      <c r="C46" s="108"/>
      <c r="D46" s="108"/>
      <c r="E46" s="108"/>
      <c r="F46" s="108"/>
      <c r="G46" s="109"/>
      <c r="H46" s="108"/>
      <c r="I46" s="108"/>
      <c r="J46" s="108"/>
      <c r="K46" s="108"/>
      <c r="L46" s="108"/>
      <c r="M46" s="19"/>
      <c r="N46" s="108"/>
      <c r="O46" s="108"/>
      <c r="P46" s="108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08"/>
      <c r="C47" s="108"/>
      <c r="D47" s="108"/>
      <c r="E47" s="108"/>
      <c r="F47" s="108"/>
      <c r="G47" s="109"/>
      <c r="H47" s="108"/>
      <c r="I47" s="108"/>
      <c r="J47" s="108"/>
      <c r="K47" s="108"/>
      <c r="L47" s="108"/>
      <c r="M47" s="19"/>
      <c r="N47" s="108"/>
      <c r="O47" s="108"/>
      <c r="P47" s="108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08"/>
      <c r="C48" s="108"/>
      <c r="D48" s="108"/>
      <c r="E48" s="108"/>
      <c r="F48" s="108"/>
      <c r="G48" s="109"/>
      <c r="H48" s="108"/>
      <c r="I48" s="108"/>
      <c r="J48" s="108"/>
      <c r="K48" s="108"/>
      <c r="L48" s="108"/>
      <c r="M48" s="19"/>
      <c r="N48" s="108"/>
      <c r="O48" s="108"/>
      <c r="P48" s="108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08"/>
      <c r="C49" s="108"/>
      <c r="D49" s="108"/>
      <c r="E49" s="108"/>
      <c r="F49" s="108"/>
      <c r="G49" s="109"/>
      <c r="H49" s="108"/>
      <c r="I49" s="108"/>
      <c r="J49" s="108"/>
      <c r="K49" s="108"/>
      <c r="L49" s="108"/>
      <c r="M49" s="19"/>
      <c r="N49" s="108"/>
      <c r="O49" s="108"/>
      <c r="P49" s="108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08"/>
      <c r="C50" s="108"/>
      <c r="D50" s="108"/>
      <c r="E50" s="108"/>
      <c r="F50" s="108"/>
      <c r="G50" s="109"/>
      <c r="H50" s="108"/>
      <c r="I50" s="108"/>
      <c r="J50" s="108"/>
      <c r="K50" s="108"/>
      <c r="L50" s="108"/>
      <c r="M50" s="19"/>
      <c r="N50" s="108"/>
      <c r="O50" s="108"/>
      <c r="P50" s="108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5">
    <mergeCell ref="E29:F36"/>
    <mergeCell ref="N12:O13"/>
    <mergeCell ref="B3:I3"/>
    <mergeCell ref="J3:P3"/>
    <mergeCell ref="B6:C6"/>
    <mergeCell ref="D6:E6"/>
    <mergeCell ref="H6:I6"/>
    <mergeCell ref="J6:K6"/>
    <mergeCell ref="B20:E20"/>
    <mergeCell ref="J18:J19"/>
    <mergeCell ref="B18:B19"/>
    <mergeCell ref="B16:B17"/>
    <mergeCell ref="C16:C17"/>
    <mergeCell ref="D16:D17"/>
    <mergeCell ref="E16:E17"/>
    <mergeCell ref="F16:F17"/>
    <mergeCell ref="H16:H17"/>
    <mergeCell ref="I16:I17"/>
    <mergeCell ref="J14:J15"/>
    <mergeCell ref="B14:B15"/>
    <mergeCell ref="C14:C15"/>
    <mergeCell ref="D14:D15"/>
    <mergeCell ref="E14:E15"/>
    <mergeCell ref="F14:F15"/>
    <mergeCell ref="Q6:R6"/>
    <mergeCell ref="H10:H11"/>
    <mergeCell ref="I10:I11"/>
    <mergeCell ref="P12:P13"/>
    <mergeCell ref="B12:B13"/>
    <mergeCell ref="C12:C13"/>
    <mergeCell ref="D12:D13"/>
    <mergeCell ref="E12:E13"/>
    <mergeCell ref="F12:F13"/>
    <mergeCell ref="H12:H13"/>
    <mergeCell ref="I12:I13"/>
    <mergeCell ref="J12:J13"/>
    <mergeCell ref="B8:F8"/>
    <mergeCell ref="H8:L8"/>
    <mergeCell ref="N8:P8"/>
    <mergeCell ref="B10:B11"/>
    <mergeCell ref="C10:C11"/>
    <mergeCell ref="D10:D11"/>
    <mergeCell ref="P10:P11"/>
    <mergeCell ref="E10:E11"/>
    <mergeCell ref="F10:F11"/>
    <mergeCell ref="J10:J11"/>
    <mergeCell ref="N9:O9"/>
    <mergeCell ref="N10:O11"/>
    <mergeCell ref="H14:H15"/>
    <mergeCell ref="I14:I15"/>
    <mergeCell ref="H25:I26"/>
    <mergeCell ref="B22:C22"/>
    <mergeCell ref="E22:F22"/>
    <mergeCell ref="C18:C19"/>
    <mergeCell ref="D18:D19"/>
    <mergeCell ref="E18:E19"/>
    <mergeCell ref="F18:F19"/>
    <mergeCell ref="H18:H19"/>
    <mergeCell ref="D23:D24"/>
    <mergeCell ref="H23:I24"/>
    <mergeCell ref="I18:I19"/>
    <mergeCell ref="H22:I22"/>
    <mergeCell ref="E23:F28"/>
    <mergeCell ref="N31:P32"/>
    <mergeCell ref="N22:P22"/>
    <mergeCell ref="J23:J24"/>
    <mergeCell ref="J25:J26"/>
    <mergeCell ref="J27:J28"/>
    <mergeCell ref="N14:O15"/>
    <mergeCell ref="P14:P15"/>
    <mergeCell ref="N16:O17"/>
    <mergeCell ref="P16:P17"/>
    <mergeCell ref="N23:P24"/>
    <mergeCell ref="N25:P26"/>
    <mergeCell ref="N27:P28"/>
    <mergeCell ref="N29:P30"/>
    <mergeCell ref="J29:J30"/>
    <mergeCell ref="K22:L22"/>
    <mergeCell ref="J16:J17"/>
    <mergeCell ref="N19:O20"/>
    <mergeCell ref="P19:P20"/>
    <mergeCell ref="B33:C34"/>
    <mergeCell ref="D33:D34"/>
    <mergeCell ref="B35:C36"/>
    <mergeCell ref="D35:D36"/>
    <mergeCell ref="H20:J20"/>
    <mergeCell ref="K9:L9"/>
    <mergeCell ref="K10:L11"/>
    <mergeCell ref="K12:L13"/>
    <mergeCell ref="K14:L15"/>
    <mergeCell ref="K16:L17"/>
    <mergeCell ref="K18:L19"/>
    <mergeCell ref="K20:L20"/>
    <mergeCell ref="K23:L30"/>
    <mergeCell ref="B23:C24"/>
    <mergeCell ref="B25:C26"/>
    <mergeCell ref="B27:C28"/>
    <mergeCell ref="D27:D28"/>
    <mergeCell ref="B29:C30"/>
    <mergeCell ref="D29:D30"/>
    <mergeCell ref="H29:I30"/>
    <mergeCell ref="B31:C32"/>
    <mergeCell ref="D31:D32"/>
    <mergeCell ref="H27:I28"/>
    <mergeCell ref="D25:D26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222" t="s">
        <v>0</v>
      </c>
      <c r="C3" s="213"/>
      <c r="D3" s="213"/>
      <c r="E3" s="213"/>
      <c r="F3" s="213"/>
      <c r="G3" s="213"/>
      <c r="H3" s="213"/>
      <c r="I3" s="213"/>
      <c r="J3" s="223" t="s">
        <v>40</v>
      </c>
      <c r="K3" s="213"/>
      <c r="L3" s="213"/>
      <c r="M3" s="213"/>
      <c r="N3" s="213"/>
      <c r="O3" s="213"/>
      <c r="P3" s="213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224" t="s">
        <v>2</v>
      </c>
      <c r="C6" s="225"/>
      <c r="D6" s="226"/>
      <c r="E6" s="186"/>
      <c r="F6" s="3"/>
      <c r="G6" s="3"/>
      <c r="H6" s="224" t="s">
        <v>3</v>
      </c>
      <c r="I6" s="225"/>
      <c r="J6" s="227" t="s">
        <v>41</v>
      </c>
      <c r="K6" s="186"/>
      <c r="L6" s="3"/>
      <c r="M6" s="3"/>
      <c r="N6" s="3"/>
      <c r="O6" s="4" t="s">
        <v>5</v>
      </c>
      <c r="P6" s="5">
        <f ca="1">TODAY()</f>
        <v>46059</v>
      </c>
      <c r="Q6" s="212"/>
      <c r="R6" s="213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205" t="s">
        <v>6</v>
      </c>
      <c r="C8" s="185"/>
      <c r="D8" s="185"/>
      <c r="E8" s="185"/>
      <c r="F8" s="186"/>
      <c r="G8" s="6"/>
      <c r="H8" s="211" t="s">
        <v>7</v>
      </c>
      <c r="I8" s="185"/>
      <c r="J8" s="185"/>
      <c r="K8" s="185"/>
      <c r="L8" s="186"/>
      <c r="M8" s="6"/>
      <c r="N8" s="184" t="s">
        <v>8</v>
      </c>
      <c r="O8" s="185"/>
      <c r="P8" s="186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220"/>
      <c r="O9" s="186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44">
        <v>1</v>
      </c>
      <c r="C10" s="245" t="s">
        <v>42</v>
      </c>
      <c r="D10" s="239">
        <v>3560</v>
      </c>
      <c r="E10" s="269"/>
      <c r="F10" s="239">
        <f>(D10*E10)+D10</f>
        <v>3560</v>
      </c>
      <c r="G10" s="12"/>
      <c r="H10" s="239">
        <v>1330</v>
      </c>
      <c r="I10" s="239">
        <v>1330</v>
      </c>
      <c r="J10" s="239">
        <v>1330</v>
      </c>
      <c r="K10" s="239">
        <v>760</v>
      </c>
      <c r="L10" s="239">
        <f>SUM(H10:K10)</f>
        <v>4750</v>
      </c>
      <c r="M10" s="12"/>
      <c r="N10" s="236" t="s">
        <v>19</v>
      </c>
      <c r="O10" s="231"/>
      <c r="P10" s="219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93"/>
      <c r="C11" s="193"/>
      <c r="D11" s="193"/>
      <c r="E11" s="193"/>
      <c r="F11" s="193"/>
      <c r="G11" s="12"/>
      <c r="H11" s="193"/>
      <c r="I11" s="193"/>
      <c r="J11" s="193"/>
      <c r="K11" s="193"/>
      <c r="L11" s="193"/>
      <c r="M11" s="12"/>
      <c r="N11" s="232"/>
      <c r="O11" s="234"/>
      <c r="P11" s="193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52">
        <v>2</v>
      </c>
      <c r="C12" s="252" t="s">
        <v>43</v>
      </c>
      <c r="D12" s="240">
        <v>3560</v>
      </c>
      <c r="E12" s="270"/>
      <c r="F12" s="239">
        <f>(D12*E12)+D12</f>
        <v>3560</v>
      </c>
      <c r="G12" s="12"/>
      <c r="H12" s="240"/>
      <c r="I12" s="240">
        <v>1330</v>
      </c>
      <c r="J12" s="240"/>
      <c r="K12" s="240"/>
      <c r="L12" s="239">
        <f>SUM(H12:K12)</f>
        <v>1330</v>
      </c>
      <c r="M12" s="12"/>
      <c r="N12" s="237" t="s">
        <v>21</v>
      </c>
      <c r="O12" s="231"/>
      <c r="P12" s="192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93"/>
      <c r="C13" s="193"/>
      <c r="D13" s="193"/>
      <c r="E13" s="193"/>
      <c r="F13" s="193"/>
      <c r="G13" s="12"/>
      <c r="H13" s="193"/>
      <c r="I13" s="193"/>
      <c r="J13" s="193"/>
      <c r="K13" s="193"/>
      <c r="L13" s="193"/>
      <c r="M13" s="12"/>
      <c r="N13" s="232"/>
      <c r="O13" s="234"/>
      <c r="P13" s="193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228" t="s">
        <v>19</v>
      </c>
      <c r="C14" s="185"/>
      <c r="D14" s="185"/>
      <c r="E14" s="186"/>
      <c r="F14" s="14">
        <f>SUM(F10:F13)</f>
        <v>7120</v>
      </c>
      <c r="G14" s="13"/>
      <c r="H14" s="238" t="s">
        <v>21</v>
      </c>
      <c r="I14" s="185"/>
      <c r="J14" s="185"/>
      <c r="K14" s="186"/>
      <c r="L14" s="15">
        <f>SUM(L10:L13)</f>
        <v>6080</v>
      </c>
      <c r="M14" s="13"/>
      <c r="N14" s="238" t="s">
        <v>25</v>
      </c>
      <c r="O14" s="186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56" t="s">
        <v>26</v>
      </c>
      <c r="C16" s="257"/>
      <c r="D16" s="23" t="s">
        <v>9</v>
      </c>
      <c r="E16" s="256" t="s">
        <v>27</v>
      </c>
      <c r="F16" s="257"/>
      <c r="G16" s="6"/>
      <c r="H16" s="211" t="s">
        <v>26</v>
      </c>
      <c r="I16" s="186"/>
      <c r="J16" s="24" t="s">
        <v>9</v>
      </c>
      <c r="K16" s="211" t="s">
        <v>27</v>
      </c>
      <c r="L16" s="186"/>
      <c r="M16" s="6"/>
      <c r="N16" s="184" t="s">
        <v>28</v>
      </c>
      <c r="O16" s="185"/>
      <c r="P16" s="186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50" t="s">
        <v>29</v>
      </c>
      <c r="C17" s="247"/>
      <c r="D17" s="258">
        <f>COUNT(B10:B13)</f>
        <v>2</v>
      </c>
      <c r="E17" s="260" t="s">
        <v>30</v>
      </c>
      <c r="F17" s="255"/>
      <c r="G17" s="19"/>
      <c r="H17" s="251" t="s">
        <v>31</v>
      </c>
      <c r="I17" s="231"/>
      <c r="J17" s="252">
        <f>COUNT(H10:H13)</f>
        <v>1</v>
      </c>
      <c r="K17" s="241" t="s">
        <v>32</v>
      </c>
      <c r="L17" s="231"/>
      <c r="M17" s="19"/>
      <c r="N17" s="235" t="s">
        <v>44</v>
      </c>
      <c r="O17" s="230"/>
      <c r="P17" s="23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48"/>
      <c r="C18" s="249"/>
      <c r="D18" s="259"/>
      <c r="E18" s="261"/>
      <c r="F18" s="243"/>
      <c r="G18" s="19"/>
      <c r="H18" s="232"/>
      <c r="I18" s="234"/>
      <c r="J18" s="193"/>
      <c r="K18" s="242"/>
      <c r="L18" s="243"/>
      <c r="M18" s="19"/>
      <c r="N18" s="232"/>
      <c r="O18" s="233"/>
      <c r="P18" s="234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46" t="s">
        <v>33</v>
      </c>
      <c r="C19" s="247"/>
      <c r="D19" s="264">
        <f>COUNT(B10:B15)*2</f>
        <v>4</v>
      </c>
      <c r="E19" s="261"/>
      <c r="F19" s="243"/>
      <c r="G19" s="19"/>
      <c r="H19" s="253" t="s">
        <v>15</v>
      </c>
      <c r="I19" s="231"/>
      <c r="J19" s="244">
        <f>COUNT(I10:I13)</f>
        <v>2</v>
      </c>
      <c r="K19" s="242"/>
      <c r="L19" s="243"/>
      <c r="M19" s="19"/>
      <c r="N19" s="229"/>
      <c r="O19" s="230"/>
      <c r="P19" s="23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48"/>
      <c r="C20" s="249"/>
      <c r="D20" s="259"/>
      <c r="E20" s="262"/>
      <c r="F20" s="263"/>
      <c r="G20" s="19"/>
      <c r="H20" s="232"/>
      <c r="I20" s="234"/>
      <c r="J20" s="193"/>
      <c r="K20" s="232"/>
      <c r="L20" s="234"/>
      <c r="M20" s="19"/>
      <c r="N20" s="232"/>
      <c r="O20" s="233"/>
      <c r="P20" s="234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250" t="s">
        <v>34</v>
      </c>
      <c r="C21" s="247"/>
      <c r="D21" s="267">
        <v>2</v>
      </c>
      <c r="E21" s="254" t="s">
        <v>35</v>
      </c>
      <c r="F21" s="255"/>
      <c r="G21" s="20"/>
      <c r="H21" s="251" t="s">
        <v>16</v>
      </c>
      <c r="I21" s="231"/>
      <c r="J21" s="252">
        <f>COUNT(J10:J13)</f>
        <v>1</v>
      </c>
      <c r="K21" s="241" t="s">
        <v>36</v>
      </c>
      <c r="L21" s="231"/>
      <c r="M21" s="19"/>
      <c r="N21" s="235"/>
      <c r="O21" s="230"/>
      <c r="P21" s="23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48"/>
      <c r="C22" s="249"/>
      <c r="D22" s="259"/>
      <c r="E22" s="213"/>
      <c r="F22" s="243"/>
      <c r="G22" s="20"/>
      <c r="H22" s="232"/>
      <c r="I22" s="234"/>
      <c r="J22" s="193"/>
      <c r="K22" s="242"/>
      <c r="L22" s="243"/>
      <c r="M22" s="19"/>
      <c r="N22" s="232"/>
      <c r="O22" s="233"/>
      <c r="P22" s="234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46" t="s">
        <v>37</v>
      </c>
      <c r="C23" s="247"/>
      <c r="D23" s="265">
        <v>2</v>
      </c>
      <c r="E23" s="213"/>
      <c r="F23" s="243"/>
      <c r="G23" s="20"/>
      <c r="H23" s="253" t="s">
        <v>17</v>
      </c>
      <c r="I23" s="231"/>
      <c r="J23" s="245">
        <f>COUNT(K10:K13)</f>
        <v>1</v>
      </c>
      <c r="K23" s="242"/>
      <c r="L23" s="243"/>
      <c r="M23" s="19"/>
      <c r="N23" s="229"/>
      <c r="O23" s="230"/>
      <c r="P23" s="23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48"/>
      <c r="C24" s="249"/>
      <c r="D24" s="259"/>
      <c r="E24" s="213"/>
      <c r="F24" s="243"/>
      <c r="G24" s="20"/>
      <c r="H24" s="232"/>
      <c r="I24" s="234"/>
      <c r="J24" s="193"/>
      <c r="K24" s="242"/>
      <c r="L24" s="243"/>
      <c r="M24" s="19"/>
      <c r="N24" s="232"/>
      <c r="O24" s="233"/>
      <c r="P24" s="234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50" t="s">
        <v>38</v>
      </c>
      <c r="C25" s="247"/>
      <c r="D25" s="267">
        <f>COUNT(B10:B13)</f>
        <v>2</v>
      </c>
      <c r="E25" s="213"/>
      <c r="F25" s="243"/>
      <c r="G25" s="20"/>
      <c r="H25" s="251" t="s">
        <v>39</v>
      </c>
      <c r="I25" s="231"/>
      <c r="J25" s="252">
        <v>0</v>
      </c>
      <c r="K25" s="242"/>
      <c r="L25" s="243"/>
      <c r="M25" s="19"/>
      <c r="N25" s="235"/>
      <c r="O25" s="230"/>
      <c r="P25" s="23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232"/>
      <c r="C26" s="266"/>
      <c r="D26" s="268"/>
      <c r="E26" s="233"/>
      <c r="F26" s="234"/>
      <c r="G26" s="20"/>
      <c r="H26" s="232"/>
      <c r="I26" s="234"/>
      <c r="J26" s="193"/>
      <c r="K26" s="232"/>
      <c r="L26" s="234"/>
      <c r="M26" s="19"/>
      <c r="N26" s="232"/>
      <c r="O26" s="233"/>
      <c r="P26" s="234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E10:E11"/>
    <mergeCell ref="F10:F11"/>
    <mergeCell ref="B12:B13"/>
    <mergeCell ref="C12:C13"/>
    <mergeCell ref="D12:D13"/>
    <mergeCell ref="E12:E13"/>
    <mergeCell ref="F12:F13"/>
    <mergeCell ref="B23:C24"/>
    <mergeCell ref="D23:D24"/>
    <mergeCell ref="B25:C26"/>
    <mergeCell ref="D25:D26"/>
    <mergeCell ref="D21:D22"/>
    <mergeCell ref="B14:E14"/>
    <mergeCell ref="B16:C16"/>
    <mergeCell ref="E16:F16"/>
    <mergeCell ref="D17:D18"/>
    <mergeCell ref="E17:F20"/>
    <mergeCell ref="D19:D20"/>
    <mergeCell ref="B17:C18"/>
    <mergeCell ref="E21:F26"/>
    <mergeCell ref="H21:I22"/>
    <mergeCell ref="H23:I24"/>
    <mergeCell ref="J23:J24"/>
    <mergeCell ref="H25:I26"/>
    <mergeCell ref="J25:J26"/>
    <mergeCell ref="J21:J22"/>
    <mergeCell ref="H17:I18"/>
    <mergeCell ref="J17:J18"/>
    <mergeCell ref="K17:L20"/>
    <mergeCell ref="H19:I20"/>
    <mergeCell ref="J19:J20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4C504-2814-417C-B708-445E05FF3C5F}">
  <sheetPr>
    <outlinePr summaryBelow="0" summaryRight="0"/>
    <pageSetUpPr fitToPage="1"/>
  </sheetPr>
  <dimension ref="B1:AL998"/>
  <sheetViews>
    <sheetView topLeftCell="A18" zoomScale="55" zoomScaleNormal="55" workbookViewId="0">
      <selection activeCell="Y18" sqref="Y18:Y19"/>
    </sheetView>
  </sheetViews>
  <sheetFormatPr defaultColWidth="12.5703125" defaultRowHeight="15" customHeight="1"/>
  <cols>
    <col min="1" max="1" width="12.5703125" style="113"/>
    <col min="2" max="2" width="10.85546875" style="113" customWidth="1"/>
    <col min="3" max="3" width="37.42578125" style="113" customWidth="1"/>
    <col min="4" max="6" width="25.85546875" style="113" customWidth="1"/>
    <col min="7" max="7" width="5.85546875" style="113" customWidth="1"/>
    <col min="8" max="8" width="25.140625" style="113" customWidth="1"/>
    <col min="9" max="9" width="23.85546875" style="113" customWidth="1"/>
    <col min="10" max="10" width="24.140625" style="113" customWidth="1"/>
    <col min="11" max="11" width="26.5703125" style="113" customWidth="1"/>
    <col min="12" max="12" width="25.85546875" style="113" customWidth="1"/>
    <col min="13" max="13" width="6.140625" style="113" customWidth="1"/>
    <col min="14" max="14" width="29.85546875" style="113" customWidth="1"/>
    <col min="15" max="15" width="39.42578125" style="113" customWidth="1"/>
    <col min="16" max="16" width="25.85546875" style="113" customWidth="1"/>
    <col min="17" max="17" width="30.85546875" style="113" customWidth="1"/>
    <col min="18" max="18" width="27.7109375" style="113" bestFit="1" customWidth="1"/>
    <col min="19" max="19" width="25.85546875" style="113" customWidth="1"/>
    <col min="20" max="20" width="29.42578125" style="113" bestFit="1" customWidth="1"/>
    <col min="21" max="21" width="32" style="113" bestFit="1" customWidth="1"/>
    <col min="22" max="23" width="25.85546875" style="113" customWidth="1"/>
    <col min="24" max="24" width="5.42578125" style="113" customWidth="1"/>
    <col min="25" max="27" width="25.85546875" style="113" customWidth="1"/>
    <col min="28" max="28" width="26.85546875" style="113" bestFit="1" customWidth="1"/>
    <col min="29" max="29" width="24.7109375" style="113" customWidth="1"/>
    <col min="30" max="30" width="5" style="113" customWidth="1"/>
    <col min="31" max="31" width="12.5703125" style="113"/>
    <col min="32" max="32" width="38.85546875" style="113" customWidth="1"/>
    <col min="33" max="33" width="22.28515625" style="113" bestFit="1" customWidth="1"/>
    <col min="34" max="16384" width="12.5703125" style="113"/>
  </cols>
  <sheetData>
    <row r="1" spans="2:38" ht="15.75" customHeight="1"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</row>
    <row r="2" spans="2:38" ht="15.75" customHeight="1"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</row>
    <row r="3" spans="2:38" ht="54" customHeight="1">
      <c r="B3" s="323" t="s">
        <v>162</v>
      </c>
      <c r="C3" s="309"/>
      <c r="D3" s="309"/>
      <c r="E3" s="309"/>
      <c r="F3" s="309"/>
      <c r="G3" s="309"/>
      <c r="H3" s="309"/>
      <c r="I3" s="309"/>
      <c r="J3" s="309"/>
      <c r="K3" s="309"/>
      <c r="L3" s="309"/>
      <c r="M3" s="309"/>
      <c r="N3" s="309"/>
      <c r="O3" s="309"/>
      <c r="P3" s="316" t="s">
        <v>40</v>
      </c>
      <c r="Q3" s="309"/>
      <c r="R3" s="309"/>
      <c r="S3" s="309"/>
      <c r="T3" s="309"/>
      <c r="U3" s="309"/>
      <c r="V3" s="309"/>
      <c r="W3" s="309"/>
      <c r="X3" s="309"/>
      <c r="Y3" s="309"/>
      <c r="Z3" s="309"/>
      <c r="AA3" s="309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</row>
    <row r="4" spans="2:38" ht="15" customHeight="1">
      <c r="B4" s="114"/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</row>
    <row r="5" spans="2:38" ht="15.75" customHeight="1">
      <c r="B5" s="114"/>
      <c r="C5" s="114"/>
      <c r="D5" s="114"/>
      <c r="E5" s="114"/>
      <c r="F5" s="114"/>
      <c r="G5" s="114"/>
      <c r="H5" s="114"/>
      <c r="M5" s="1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F5" s="114"/>
      <c r="AG5" s="114"/>
      <c r="AH5" s="114"/>
      <c r="AI5" s="114"/>
      <c r="AJ5" s="114"/>
      <c r="AK5" s="114"/>
      <c r="AL5" s="114"/>
    </row>
    <row r="6" spans="2:38" ht="31.5" customHeight="1">
      <c r="B6" s="319" t="s">
        <v>2</v>
      </c>
      <c r="C6" s="317"/>
      <c r="D6" s="320"/>
      <c r="E6" s="279"/>
      <c r="F6" s="142"/>
      <c r="G6" s="142"/>
      <c r="H6" s="319" t="s">
        <v>3</v>
      </c>
      <c r="I6" s="321"/>
      <c r="J6" s="322" t="s">
        <v>153</v>
      </c>
      <c r="K6" s="279"/>
      <c r="L6" s="142"/>
      <c r="M6" s="141"/>
      <c r="N6" s="304" t="s">
        <v>45</v>
      </c>
      <c r="O6" s="317"/>
      <c r="P6" s="140"/>
      <c r="Q6" s="318" t="s">
        <v>46</v>
      </c>
      <c r="R6" s="279"/>
      <c r="AB6" s="308"/>
      <c r="AC6" s="309"/>
      <c r="AD6" s="114"/>
      <c r="AE6" s="139"/>
      <c r="AF6" s="138" t="s">
        <v>5</v>
      </c>
      <c r="AG6" s="137">
        <f ca="1">TODAY()</f>
        <v>46059</v>
      </c>
      <c r="AH6" s="114"/>
      <c r="AI6" s="114"/>
      <c r="AJ6" s="114"/>
      <c r="AK6" s="114"/>
      <c r="AL6" s="114"/>
    </row>
    <row r="7" spans="2:38" ht="31.5" customHeight="1">
      <c r="B7" s="122"/>
      <c r="C7" s="122"/>
      <c r="D7" s="123"/>
      <c r="E7" s="122"/>
      <c r="F7" s="122"/>
      <c r="G7" s="122"/>
      <c r="H7" s="122"/>
      <c r="I7" s="122"/>
      <c r="J7" s="122"/>
      <c r="K7" s="122"/>
      <c r="L7" s="122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AB7" s="114"/>
      <c r="AC7" s="114"/>
      <c r="AD7" s="114"/>
      <c r="AE7" s="114"/>
      <c r="AF7" s="114"/>
      <c r="AG7" s="114"/>
      <c r="AH7" s="114"/>
      <c r="AI7" s="114"/>
      <c r="AJ7" s="114"/>
      <c r="AK7" s="114"/>
      <c r="AL7" s="114"/>
    </row>
    <row r="8" spans="2:38" ht="31.5" customHeight="1">
      <c r="B8" s="302" t="s">
        <v>6</v>
      </c>
      <c r="C8" s="278"/>
      <c r="D8" s="278"/>
      <c r="E8" s="278"/>
      <c r="F8" s="279"/>
      <c r="G8" s="119"/>
      <c r="H8" s="280" t="s">
        <v>7</v>
      </c>
      <c r="I8" s="278"/>
      <c r="J8" s="278"/>
      <c r="K8" s="278"/>
      <c r="L8" s="279"/>
      <c r="M8" s="117"/>
      <c r="N8" s="310" t="s">
        <v>70</v>
      </c>
      <c r="O8" s="278"/>
      <c r="P8" s="278"/>
      <c r="Q8" s="278"/>
      <c r="R8" s="278"/>
      <c r="S8" s="278"/>
      <c r="T8" s="278"/>
      <c r="U8" s="278"/>
      <c r="V8" s="278"/>
      <c r="W8" s="279"/>
      <c r="X8" s="116"/>
      <c r="Y8" s="280" t="s">
        <v>165</v>
      </c>
      <c r="Z8" s="278"/>
      <c r="AA8" s="278"/>
      <c r="AB8" s="278"/>
      <c r="AC8" s="279"/>
      <c r="AD8" s="114"/>
      <c r="AE8" s="311" t="s">
        <v>8</v>
      </c>
      <c r="AF8" s="278"/>
      <c r="AG8" s="279"/>
      <c r="AH8" s="114"/>
      <c r="AI8" s="114"/>
      <c r="AJ8" s="114"/>
      <c r="AK8" s="114"/>
      <c r="AL8" s="114"/>
    </row>
    <row r="9" spans="2:38" ht="31.5" customHeight="1">
      <c r="B9" s="136" t="s">
        <v>9</v>
      </c>
      <c r="C9" s="135" t="s">
        <v>10</v>
      </c>
      <c r="D9" s="133" t="s">
        <v>11</v>
      </c>
      <c r="E9" s="133" t="s">
        <v>12</v>
      </c>
      <c r="F9" s="133" t="s">
        <v>13</v>
      </c>
      <c r="G9" s="134"/>
      <c r="H9" s="133" t="s">
        <v>14</v>
      </c>
      <c r="I9" s="133" t="s">
        <v>15</v>
      </c>
      <c r="J9" s="133" t="s">
        <v>16</v>
      </c>
      <c r="K9" s="133" t="s">
        <v>17</v>
      </c>
      <c r="L9" s="133" t="s">
        <v>13</v>
      </c>
      <c r="M9" s="117"/>
      <c r="N9" s="132" t="s">
        <v>9</v>
      </c>
      <c r="O9" s="131" t="s">
        <v>10</v>
      </c>
      <c r="P9" s="131" t="s">
        <v>48</v>
      </c>
      <c r="Q9" s="131" t="s">
        <v>149</v>
      </c>
      <c r="R9" s="131" t="s">
        <v>51</v>
      </c>
      <c r="S9" s="131" t="s">
        <v>50</v>
      </c>
      <c r="T9" s="131" t="s">
        <v>58</v>
      </c>
      <c r="U9" s="131" t="s">
        <v>71</v>
      </c>
      <c r="V9" s="131" t="s">
        <v>151</v>
      </c>
      <c r="W9" s="131" t="s">
        <v>13</v>
      </c>
      <c r="X9" s="116"/>
      <c r="Y9" s="133" t="s">
        <v>14</v>
      </c>
      <c r="Z9" s="133" t="s">
        <v>15</v>
      </c>
      <c r="AA9" s="133" t="s">
        <v>16</v>
      </c>
      <c r="AB9" s="133" t="s">
        <v>17</v>
      </c>
      <c r="AC9" s="133" t="s">
        <v>13</v>
      </c>
      <c r="AD9" s="114"/>
      <c r="AE9" s="312"/>
      <c r="AF9" s="279"/>
      <c r="AG9" s="130" t="s">
        <v>13</v>
      </c>
      <c r="AH9" s="114"/>
      <c r="AI9" s="114"/>
      <c r="AJ9" s="114"/>
      <c r="AK9" s="114"/>
      <c r="AL9" s="114"/>
    </row>
    <row r="10" spans="2:38" ht="31.5" customHeight="1">
      <c r="B10" s="291">
        <v>101</v>
      </c>
      <c r="C10" s="291" t="s">
        <v>18</v>
      </c>
      <c r="D10" s="290">
        <v>2325</v>
      </c>
      <c r="E10" s="292"/>
      <c r="F10" s="290">
        <f>(D10*E10)+D10</f>
        <v>2325</v>
      </c>
      <c r="G10" s="129"/>
      <c r="H10" s="288"/>
      <c r="I10" s="290"/>
      <c r="J10" s="290">
        <v>1330</v>
      </c>
      <c r="K10" s="290"/>
      <c r="L10" s="290">
        <f>SUM(H10:K10)</f>
        <v>1330</v>
      </c>
      <c r="M10" s="117"/>
      <c r="N10" s="299">
        <v>1</v>
      </c>
      <c r="O10" s="300" t="s">
        <v>72</v>
      </c>
      <c r="P10" s="305">
        <v>190</v>
      </c>
      <c r="Q10" s="305">
        <v>190</v>
      </c>
      <c r="R10" s="305">
        <v>190</v>
      </c>
      <c r="S10" s="305">
        <v>190</v>
      </c>
      <c r="T10" s="305">
        <v>190</v>
      </c>
      <c r="U10" s="305">
        <v>90</v>
      </c>
      <c r="V10" s="305">
        <v>90</v>
      </c>
      <c r="W10" s="305">
        <f>SUM(P10:V10)</f>
        <v>1130</v>
      </c>
      <c r="X10" s="116"/>
      <c r="Y10" s="288"/>
      <c r="Z10" s="290"/>
      <c r="AA10" s="290">
        <v>1330</v>
      </c>
      <c r="AB10" s="290"/>
      <c r="AC10" s="290">
        <f>SUM(Y10:AB10)</f>
        <v>1330</v>
      </c>
      <c r="AD10" s="114"/>
      <c r="AE10" s="313" t="s">
        <v>19</v>
      </c>
      <c r="AF10" s="272"/>
      <c r="AG10" s="314">
        <f>F20</f>
        <v>13950</v>
      </c>
      <c r="AH10" s="114"/>
      <c r="AI10" s="114"/>
      <c r="AJ10" s="114"/>
      <c r="AK10" s="114"/>
      <c r="AL10" s="114"/>
    </row>
    <row r="11" spans="2:38" ht="31.5" customHeight="1">
      <c r="B11" s="276"/>
      <c r="C11" s="276"/>
      <c r="D11" s="276"/>
      <c r="E11" s="276"/>
      <c r="F11" s="276"/>
      <c r="G11" s="129"/>
      <c r="H11" s="276"/>
      <c r="I11" s="276"/>
      <c r="J11" s="276"/>
      <c r="K11" s="276"/>
      <c r="L11" s="276"/>
      <c r="M11" s="117"/>
      <c r="N11" s="276"/>
      <c r="O11" s="276"/>
      <c r="P11" s="276"/>
      <c r="Q11" s="276"/>
      <c r="R11" s="276"/>
      <c r="S11" s="276"/>
      <c r="T11" s="276"/>
      <c r="U11" s="276"/>
      <c r="V11" s="276"/>
      <c r="W11" s="276"/>
      <c r="X11" s="116"/>
      <c r="Y11" s="276"/>
      <c r="Z11" s="276"/>
      <c r="AA11" s="276"/>
      <c r="AB11" s="276"/>
      <c r="AC11" s="276"/>
      <c r="AD11" s="114"/>
      <c r="AE11" s="273"/>
      <c r="AF11" s="274"/>
      <c r="AG11" s="276"/>
      <c r="AH11" s="114"/>
      <c r="AI11" s="114"/>
      <c r="AJ11" s="114"/>
      <c r="AK11" s="114"/>
      <c r="AL11" s="114"/>
    </row>
    <row r="12" spans="2:38" ht="31.5" customHeight="1">
      <c r="B12" s="291">
        <v>102</v>
      </c>
      <c r="C12" s="291" t="s">
        <v>20</v>
      </c>
      <c r="D12" s="290">
        <v>2325</v>
      </c>
      <c r="E12" s="292">
        <v>0.75</v>
      </c>
      <c r="F12" s="290">
        <f>(D12*E12)+D12</f>
        <v>4068.75</v>
      </c>
      <c r="G12" s="129"/>
      <c r="H12" s="290">
        <v>1330</v>
      </c>
      <c r="I12" s="290">
        <v>1330</v>
      </c>
      <c r="J12" s="290"/>
      <c r="K12" s="290"/>
      <c r="L12" s="290">
        <f>SUM(H12:K12)</f>
        <v>2660</v>
      </c>
      <c r="M12" s="117"/>
      <c r="N12" s="303">
        <v>2</v>
      </c>
      <c r="O12" s="288" t="s">
        <v>150</v>
      </c>
      <c r="P12" s="305">
        <v>190</v>
      </c>
      <c r="Q12" s="305">
        <v>190</v>
      </c>
      <c r="R12" s="305">
        <v>190</v>
      </c>
      <c r="S12" s="305">
        <v>190</v>
      </c>
      <c r="T12" s="305">
        <v>190</v>
      </c>
      <c r="U12" s="305">
        <v>90</v>
      </c>
      <c r="V12" s="305">
        <v>90</v>
      </c>
      <c r="W12" s="305">
        <f>SUM(P12:V12)</f>
        <v>1130</v>
      </c>
      <c r="X12" s="116"/>
      <c r="Y12" s="290">
        <v>1330</v>
      </c>
      <c r="Z12" s="290">
        <v>1330</v>
      </c>
      <c r="AA12" s="290"/>
      <c r="AB12" s="290"/>
      <c r="AC12" s="290">
        <f>SUM(Y12:AB12)</f>
        <v>2660</v>
      </c>
      <c r="AD12" s="114"/>
      <c r="AE12" s="271" t="s">
        <v>53</v>
      </c>
      <c r="AF12" s="272"/>
      <c r="AG12" s="315">
        <f>W20</f>
        <v>5650</v>
      </c>
      <c r="AH12" s="114"/>
      <c r="AI12" s="114"/>
      <c r="AJ12" s="114"/>
      <c r="AK12" s="114"/>
      <c r="AL12" s="114"/>
    </row>
    <row r="13" spans="2:38" ht="31.5" customHeight="1">
      <c r="B13" s="276"/>
      <c r="C13" s="276"/>
      <c r="D13" s="276"/>
      <c r="E13" s="276"/>
      <c r="F13" s="276"/>
      <c r="G13" s="129"/>
      <c r="H13" s="276"/>
      <c r="I13" s="276"/>
      <c r="J13" s="276"/>
      <c r="K13" s="276"/>
      <c r="L13" s="276"/>
      <c r="M13" s="117"/>
      <c r="N13" s="276"/>
      <c r="O13" s="276"/>
      <c r="P13" s="276"/>
      <c r="Q13" s="276"/>
      <c r="R13" s="276"/>
      <c r="S13" s="276"/>
      <c r="T13" s="276"/>
      <c r="U13" s="276"/>
      <c r="V13" s="276"/>
      <c r="W13" s="276"/>
      <c r="X13" s="116"/>
      <c r="Y13" s="276"/>
      <c r="Z13" s="276"/>
      <c r="AA13" s="276"/>
      <c r="AB13" s="276"/>
      <c r="AC13" s="276"/>
      <c r="AD13" s="114"/>
      <c r="AE13" s="273"/>
      <c r="AF13" s="274"/>
      <c r="AG13" s="276"/>
      <c r="AH13" s="114"/>
      <c r="AI13" s="114"/>
      <c r="AJ13" s="114"/>
      <c r="AK13" s="114"/>
      <c r="AL13" s="114"/>
    </row>
    <row r="14" spans="2:38" ht="31.5" customHeight="1">
      <c r="B14" s="291">
        <v>103</v>
      </c>
      <c r="C14" s="291" t="s">
        <v>22</v>
      </c>
      <c r="D14" s="290">
        <v>2325</v>
      </c>
      <c r="E14" s="288"/>
      <c r="F14" s="290">
        <f>(D14*E14)+D14</f>
        <v>2325</v>
      </c>
      <c r="G14" s="128"/>
      <c r="H14" s="288"/>
      <c r="I14" s="288"/>
      <c r="J14" s="290">
        <v>1330</v>
      </c>
      <c r="K14" s="290"/>
      <c r="L14" s="290">
        <f>SUM(H14:K14)</f>
        <v>1330</v>
      </c>
      <c r="M14" s="117"/>
      <c r="N14" s="299">
        <v>3</v>
      </c>
      <c r="O14" s="300" t="s">
        <v>154</v>
      </c>
      <c r="P14" s="305">
        <v>190</v>
      </c>
      <c r="Q14" s="305">
        <v>190</v>
      </c>
      <c r="R14" s="305">
        <v>190</v>
      </c>
      <c r="S14" s="305">
        <v>190</v>
      </c>
      <c r="T14" s="305">
        <v>190</v>
      </c>
      <c r="U14" s="305">
        <v>90</v>
      </c>
      <c r="V14" s="305">
        <v>90</v>
      </c>
      <c r="W14" s="305">
        <f>SUM(P14:V14)</f>
        <v>1130</v>
      </c>
      <c r="X14" s="116"/>
      <c r="Y14" s="288"/>
      <c r="Z14" s="288"/>
      <c r="AA14" s="290">
        <v>1330</v>
      </c>
      <c r="AB14" s="290"/>
      <c r="AC14" s="290">
        <f>SUM(Y14:AB14)</f>
        <v>1330</v>
      </c>
      <c r="AD14" s="114"/>
      <c r="AE14" s="271" t="s">
        <v>21</v>
      </c>
      <c r="AF14" s="272"/>
      <c r="AG14" s="275">
        <f>L20</f>
        <v>8740</v>
      </c>
      <c r="AH14" s="114"/>
      <c r="AI14" s="114"/>
      <c r="AJ14" s="114"/>
      <c r="AK14" s="114"/>
      <c r="AL14" s="114"/>
    </row>
    <row r="15" spans="2:38" ht="31.5" customHeight="1">
      <c r="B15" s="276"/>
      <c r="C15" s="276"/>
      <c r="D15" s="276"/>
      <c r="E15" s="276"/>
      <c r="F15" s="276"/>
      <c r="G15" s="128"/>
      <c r="H15" s="276"/>
      <c r="I15" s="276"/>
      <c r="J15" s="276"/>
      <c r="K15" s="276"/>
      <c r="L15" s="276"/>
      <c r="M15" s="117"/>
      <c r="N15" s="276"/>
      <c r="O15" s="276"/>
      <c r="P15" s="276"/>
      <c r="Q15" s="276"/>
      <c r="R15" s="276"/>
      <c r="S15" s="276"/>
      <c r="T15" s="276"/>
      <c r="U15" s="276"/>
      <c r="V15" s="276"/>
      <c r="W15" s="276"/>
      <c r="X15" s="116"/>
      <c r="Y15" s="276"/>
      <c r="Z15" s="276"/>
      <c r="AA15" s="276"/>
      <c r="AB15" s="276"/>
      <c r="AC15" s="276"/>
      <c r="AD15" s="114"/>
      <c r="AE15" s="273"/>
      <c r="AF15" s="274"/>
      <c r="AG15" s="276"/>
      <c r="AH15" s="114"/>
      <c r="AI15" s="114"/>
      <c r="AJ15" s="114"/>
      <c r="AK15" s="114"/>
      <c r="AL15" s="114"/>
    </row>
    <row r="16" spans="2:38" ht="31.5" customHeight="1">
      <c r="B16" s="291">
        <v>104</v>
      </c>
      <c r="C16" s="291" t="s">
        <v>23</v>
      </c>
      <c r="D16" s="290">
        <v>2325</v>
      </c>
      <c r="E16" s="292">
        <v>0.25</v>
      </c>
      <c r="F16" s="290">
        <f>(D16*E16)+D16</f>
        <v>2906.25</v>
      </c>
      <c r="G16" s="128"/>
      <c r="H16" s="290">
        <v>1330</v>
      </c>
      <c r="I16" s="288"/>
      <c r="J16" s="288"/>
      <c r="K16" s="290">
        <v>760</v>
      </c>
      <c r="L16" s="290">
        <f>SUM(H16:K16)</f>
        <v>2090</v>
      </c>
      <c r="M16" s="117"/>
      <c r="N16" s="303">
        <v>4</v>
      </c>
      <c r="O16" s="288" t="s">
        <v>155</v>
      </c>
      <c r="P16" s="305">
        <v>190</v>
      </c>
      <c r="Q16" s="305">
        <v>190</v>
      </c>
      <c r="R16" s="305">
        <v>190</v>
      </c>
      <c r="S16" s="305">
        <v>190</v>
      </c>
      <c r="T16" s="305">
        <v>190</v>
      </c>
      <c r="U16" s="305">
        <v>90</v>
      </c>
      <c r="V16" s="305">
        <v>90</v>
      </c>
      <c r="W16" s="305">
        <f>SUM(P16:V16)</f>
        <v>1130</v>
      </c>
      <c r="X16" s="116"/>
      <c r="Y16" s="290">
        <v>1330</v>
      </c>
      <c r="Z16" s="288"/>
      <c r="AA16" s="288"/>
      <c r="AB16" s="290">
        <v>760</v>
      </c>
      <c r="AC16" s="290">
        <f>SUM(Y16:AB16)</f>
        <v>2090</v>
      </c>
      <c r="AD16" s="114"/>
      <c r="AE16" s="271" t="s">
        <v>164</v>
      </c>
      <c r="AF16" s="272"/>
      <c r="AG16" s="275">
        <f>AC20</f>
        <v>7410</v>
      </c>
      <c r="AH16" s="114"/>
      <c r="AI16" s="114"/>
      <c r="AJ16" s="114"/>
      <c r="AK16" s="114"/>
      <c r="AL16" s="114"/>
    </row>
    <row r="17" spans="2:38" ht="31.5" customHeight="1">
      <c r="B17" s="276"/>
      <c r="C17" s="276"/>
      <c r="D17" s="276"/>
      <c r="E17" s="276"/>
      <c r="F17" s="276"/>
      <c r="G17" s="128"/>
      <c r="H17" s="276"/>
      <c r="I17" s="276"/>
      <c r="J17" s="276"/>
      <c r="K17" s="276"/>
      <c r="L17" s="276"/>
      <c r="M17" s="117"/>
      <c r="N17" s="276"/>
      <c r="O17" s="276"/>
      <c r="P17" s="276"/>
      <c r="Q17" s="276"/>
      <c r="R17" s="276"/>
      <c r="S17" s="276"/>
      <c r="T17" s="276"/>
      <c r="U17" s="276"/>
      <c r="V17" s="276"/>
      <c r="W17" s="276"/>
      <c r="X17" s="116"/>
      <c r="Y17" s="276"/>
      <c r="Z17" s="276"/>
      <c r="AA17" s="276"/>
      <c r="AB17" s="276"/>
      <c r="AC17" s="276"/>
      <c r="AD17" s="114"/>
      <c r="AE17" s="273"/>
      <c r="AF17" s="274"/>
      <c r="AG17" s="276"/>
      <c r="AH17" s="114"/>
      <c r="AI17" s="114"/>
      <c r="AJ17" s="114"/>
      <c r="AK17" s="114"/>
      <c r="AL17" s="114"/>
    </row>
    <row r="18" spans="2:38" ht="31.5" customHeight="1">
      <c r="B18" s="291">
        <v>105</v>
      </c>
      <c r="C18" s="291" t="s">
        <v>24</v>
      </c>
      <c r="D18" s="290">
        <v>2325</v>
      </c>
      <c r="E18" s="288"/>
      <c r="F18" s="290">
        <f>(D18*E18)+D18</f>
        <v>2325</v>
      </c>
      <c r="G18" s="128"/>
      <c r="H18" s="288"/>
      <c r="I18" s="288"/>
      <c r="J18" s="290">
        <v>1330</v>
      </c>
      <c r="K18" s="288"/>
      <c r="L18" s="290">
        <f>SUM(H18:K18)</f>
        <v>1330</v>
      </c>
      <c r="M18" s="117"/>
      <c r="N18" s="299">
        <v>5</v>
      </c>
      <c r="O18" s="300" t="s">
        <v>156</v>
      </c>
      <c r="P18" s="305">
        <v>190</v>
      </c>
      <c r="Q18" s="305">
        <v>190</v>
      </c>
      <c r="R18" s="305">
        <v>190</v>
      </c>
      <c r="S18" s="305">
        <v>190</v>
      </c>
      <c r="T18" s="305">
        <v>190</v>
      </c>
      <c r="U18" s="305">
        <v>90</v>
      </c>
      <c r="V18" s="305">
        <v>90</v>
      </c>
      <c r="W18" s="305">
        <f>SUM(P18:V18)</f>
        <v>1130</v>
      </c>
      <c r="X18" s="116"/>
      <c r="Y18" s="288"/>
      <c r="Z18" s="288"/>
      <c r="AA18" s="290"/>
      <c r="AB18" s="288"/>
      <c r="AC18" s="290">
        <f>SUM(Y18:AB18)</f>
        <v>0</v>
      </c>
      <c r="AD18" s="114"/>
      <c r="AE18" s="306" t="s">
        <v>163</v>
      </c>
      <c r="AF18" s="272"/>
      <c r="AG18" s="307">
        <f>SUM(AG10:AG17)*0.1</f>
        <v>3575</v>
      </c>
      <c r="AH18" s="114"/>
      <c r="AI18" s="114"/>
      <c r="AJ18" s="114"/>
      <c r="AK18" s="114"/>
      <c r="AL18" s="114"/>
    </row>
    <row r="19" spans="2:38" ht="31.5" customHeight="1">
      <c r="B19" s="276"/>
      <c r="C19" s="276"/>
      <c r="D19" s="276"/>
      <c r="E19" s="276"/>
      <c r="F19" s="276"/>
      <c r="G19" s="128"/>
      <c r="H19" s="276"/>
      <c r="I19" s="276"/>
      <c r="J19" s="276"/>
      <c r="K19" s="276"/>
      <c r="L19" s="276"/>
      <c r="M19" s="117"/>
      <c r="N19" s="276"/>
      <c r="O19" s="276"/>
      <c r="P19" s="276"/>
      <c r="Q19" s="276"/>
      <c r="R19" s="276"/>
      <c r="S19" s="276"/>
      <c r="T19" s="276"/>
      <c r="U19" s="276"/>
      <c r="V19" s="276"/>
      <c r="W19" s="276"/>
      <c r="X19" s="116"/>
      <c r="Y19" s="276"/>
      <c r="Z19" s="276"/>
      <c r="AA19" s="276"/>
      <c r="AB19" s="276"/>
      <c r="AC19" s="276"/>
      <c r="AD19" s="114"/>
      <c r="AE19" s="273"/>
      <c r="AF19" s="274"/>
      <c r="AG19" s="276"/>
      <c r="AH19" s="114"/>
      <c r="AI19" s="114"/>
      <c r="AJ19" s="114"/>
      <c r="AK19" s="114"/>
      <c r="AL19" s="114"/>
    </row>
    <row r="20" spans="2:38" ht="31.5" customHeight="1">
      <c r="B20" s="301" t="s">
        <v>19</v>
      </c>
      <c r="C20" s="278"/>
      <c r="D20" s="278"/>
      <c r="E20" s="279"/>
      <c r="F20" s="127">
        <f>SUM(F10:F19)</f>
        <v>13950</v>
      </c>
      <c r="G20" s="119"/>
      <c r="H20" s="277" t="s">
        <v>21</v>
      </c>
      <c r="I20" s="278"/>
      <c r="J20" s="278"/>
      <c r="K20" s="279"/>
      <c r="L20" s="126">
        <f>SUM(L10:L19)</f>
        <v>8740</v>
      </c>
      <c r="M20" s="117"/>
      <c r="N20" s="334" t="s">
        <v>73</v>
      </c>
      <c r="O20" s="278"/>
      <c r="P20" s="278"/>
      <c r="Q20" s="278"/>
      <c r="R20" s="278"/>
      <c r="S20" s="278"/>
      <c r="T20" s="278"/>
      <c r="U20" s="278"/>
      <c r="V20" s="279"/>
      <c r="W20" s="125">
        <f>SUM(W10:W19)</f>
        <v>5650</v>
      </c>
      <c r="X20" s="116"/>
      <c r="Y20" s="277" t="s">
        <v>164</v>
      </c>
      <c r="Z20" s="278"/>
      <c r="AA20" s="278"/>
      <c r="AB20" s="279"/>
      <c r="AC20" s="126">
        <f>SUM(AC10:AC19)</f>
        <v>7410</v>
      </c>
      <c r="AD20" s="114"/>
      <c r="AE20" s="325" t="s">
        <v>25</v>
      </c>
      <c r="AF20" s="279"/>
      <c r="AG20" s="124">
        <f>SUM(AG10:AG17) - AG18</f>
        <v>32175</v>
      </c>
      <c r="AH20" s="114"/>
      <c r="AI20" s="114"/>
      <c r="AJ20" s="114"/>
      <c r="AK20" s="114"/>
      <c r="AL20" s="114"/>
    </row>
    <row r="21" spans="2:38" ht="31.5" customHeight="1">
      <c r="B21" s="122"/>
      <c r="C21" s="122"/>
      <c r="D21" s="123"/>
      <c r="E21" s="122"/>
      <c r="F21" s="122"/>
      <c r="G21" s="122"/>
      <c r="H21" s="122"/>
      <c r="I21" s="122"/>
      <c r="J21" s="122"/>
      <c r="K21" s="122"/>
      <c r="L21" s="122"/>
      <c r="M21" s="117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16"/>
      <c r="Y21" s="122"/>
      <c r="Z21" s="122"/>
      <c r="AA21" s="122"/>
      <c r="AB21" s="122"/>
      <c r="AC21" s="122"/>
      <c r="AD21" s="114"/>
      <c r="AE21" s="116"/>
      <c r="AF21" s="116"/>
      <c r="AG21" s="116"/>
      <c r="AH21" s="114"/>
      <c r="AI21" s="114"/>
      <c r="AJ21" s="114"/>
      <c r="AK21" s="114"/>
      <c r="AL21" s="114"/>
    </row>
    <row r="22" spans="2:38" ht="31.5" customHeight="1">
      <c r="B22" s="302" t="s">
        <v>26</v>
      </c>
      <c r="C22" s="279"/>
      <c r="D22" s="120" t="s">
        <v>9</v>
      </c>
      <c r="E22" s="333" t="s">
        <v>27</v>
      </c>
      <c r="F22" s="279"/>
      <c r="G22" s="119"/>
      <c r="H22" s="280" t="s">
        <v>26</v>
      </c>
      <c r="I22" s="279"/>
      <c r="J22" s="118" t="s">
        <v>9</v>
      </c>
      <c r="K22" s="281" t="s">
        <v>27</v>
      </c>
      <c r="L22" s="279"/>
      <c r="M22" s="117"/>
      <c r="N22" s="310" t="s">
        <v>26</v>
      </c>
      <c r="O22" s="278"/>
      <c r="P22" s="279"/>
      <c r="Q22" s="143" t="s">
        <v>9</v>
      </c>
      <c r="R22" s="310" t="s">
        <v>74</v>
      </c>
      <c r="S22" s="279"/>
      <c r="T22" s="310" t="s">
        <v>27</v>
      </c>
      <c r="U22" s="278"/>
      <c r="V22" s="278"/>
      <c r="W22" s="279"/>
      <c r="X22" s="116"/>
      <c r="Y22" s="280" t="s">
        <v>26</v>
      </c>
      <c r="Z22" s="279"/>
      <c r="AA22" s="118" t="s">
        <v>9</v>
      </c>
      <c r="AB22" s="281" t="s">
        <v>27</v>
      </c>
      <c r="AC22" s="279"/>
      <c r="AD22" s="114"/>
      <c r="AE22" s="304" t="s">
        <v>28</v>
      </c>
      <c r="AF22" s="278"/>
      <c r="AG22" s="279"/>
      <c r="AH22" s="114"/>
      <c r="AI22" s="114"/>
      <c r="AJ22" s="114"/>
      <c r="AK22" s="114"/>
      <c r="AL22" s="114"/>
    </row>
    <row r="23" spans="2:38" ht="31.5" customHeight="1">
      <c r="B23" s="330" t="s">
        <v>157</v>
      </c>
      <c r="C23" s="272"/>
      <c r="D23" s="283">
        <v>5</v>
      </c>
      <c r="E23" s="342" t="s">
        <v>30</v>
      </c>
      <c r="F23" s="272"/>
      <c r="G23" s="115"/>
      <c r="H23" s="282" t="s">
        <v>31</v>
      </c>
      <c r="I23" s="272"/>
      <c r="J23" s="283">
        <f>COUNT(H10:H19)</f>
        <v>2</v>
      </c>
      <c r="K23" s="284" t="s">
        <v>56</v>
      </c>
      <c r="L23" s="272"/>
      <c r="M23" s="117"/>
      <c r="N23" s="324" t="s">
        <v>54</v>
      </c>
      <c r="O23" s="294"/>
      <c r="P23" s="295"/>
      <c r="Q23" s="331">
        <f>COUNT(P10:P19)</f>
        <v>5</v>
      </c>
      <c r="R23" s="336" t="s">
        <v>75</v>
      </c>
      <c r="S23" s="295"/>
      <c r="T23" s="329" t="s">
        <v>161</v>
      </c>
      <c r="U23" s="327"/>
      <c r="V23" s="327"/>
      <c r="W23" s="272"/>
      <c r="X23" s="116"/>
      <c r="Y23" s="282" t="s">
        <v>31</v>
      </c>
      <c r="Z23" s="272"/>
      <c r="AA23" s="283">
        <f>COUNT(Y10:Y19)</f>
        <v>2</v>
      </c>
      <c r="AB23" s="284"/>
      <c r="AC23" s="272"/>
      <c r="AD23" s="114"/>
      <c r="AE23" s="326"/>
      <c r="AF23" s="327"/>
      <c r="AG23" s="272"/>
      <c r="AH23" s="114"/>
      <c r="AI23" s="114"/>
      <c r="AJ23" s="114"/>
      <c r="AK23" s="114"/>
      <c r="AL23" s="114"/>
    </row>
    <row r="24" spans="2:38" ht="31.5" customHeight="1">
      <c r="B24" s="273"/>
      <c r="C24" s="274"/>
      <c r="D24" s="276"/>
      <c r="E24" s="285"/>
      <c r="F24" s="286"/>
      <c r="G24" s="115"/>
      <c r="H24" s="273"/>
      <c r="I24" s="274"/>
      <c r="J24" s="276"/>
      <c r="K24" s="285"/>
      <c r="L24" s="286"/>
      <c r="M24" s="117"/>
      <c r="N24" s="296"/>
      <c r="O24" s="297"/>
      <c r="P24" s="298"/>
      <c r="Q24" s="332"/>
      <c r="R24" s="296"/>
      <c r="S24" s="298"/>
      <c r="T24" s="285"/>
      <c r="U24" s="309"/>
      <c r="V24" s="309"/>
      <c r="W24" s="286"/>
      <c r="X24" s="116"/>
      <c r="Y24" s="273"/>
      <c r="Z24" s="274"/>
      <c r="AA24" s="276"/>
      <c r="AB24" s="285"/>
      <c r="AC24" s="286"/>
      <c r="AD24" s="114"/>
      <c r="AE24" s="273"/>
      <c r="AF24" s="328"/>
      <c r="AG24" s="274"/>
      <c r="AH24" s="114"/>
      <c r="AI24" s="114"/>
      <c r="AJ24" s="114"/>
      <c r="AK24" s="114"/>
      <c r="AL24" s="114"/>
    </row>
    <row r="25" spans="2:38" ht="31.5" customHeight="1">
      <c r="B25" s="341" t="s">
        <v>33</v>
      </c>
      <c r="C25" s="272"/>
      <c r="D25" s="288">
        <v>5</v>
      </c>
      <c r="E25" s="285"/>
      <c r="F25" s="286"/>
      <c r="G25" s="115"/>
      <c r="H25" s="287" t="s">
        <v>15</v>
      </c>
      <c r="I25" s="272"/>
      <c r="J25" s="288">
        <f>COUNT(I10:I19)</f>
        <v>1</v>
      </c>
      <c r="K25" s="285"/>
      <c r="L25" s="286"/>
      <c r="M25" s="117"/>
      <c r="N25" s="293" t="s">
        <v>149</v>
      </c>
      <c r="O25" s="294"/>
      <c r="P25" s="295"/>
      <c r="Q25" s="338">
        <f>COUNT(Q10:Q19)</f>
        <v>5</v>
      </c>
      <c r="R25" s="337" t="s">
        <v>76</v>
      </c>
      <c r="S25" s="295"/>
      <c r="T25" s="285"/>
      <c r="U25" s="309"/>
      <c r="V25" s="309"/>
      <c r="W25" s="286"/>
      <c r="X25" s="116"/>
      <c r="Y25" s="287" t="s">
        <v>15</v>
      </c>
      <c r="Z25" s="272"/>
      <c r="AA25" s="288">
        <f>COUNT(Z10:Z19)</f>
        <v>1</v>
      </c>
      <c r="AB25" s="285"/>
      <c r="AC25" s="286"/>
      <c r="AD25" s="114"/>
      <c r="AE25" s="326"/>
      <c r="AF25" s="327"/>
      <c r="AG25" s="272"/>
      <c r="AH25" s="114"/>
      <c r="AI25" s="114"/>
      <c r="AJ25" s="114"/>
      <c r="AK25" s="114"/>
      <c r="AL25" s="114"/>
    </row>
    <row r="26" spans="2:38" ht="31.5" customHeight="1">
      <c r="B26" s="273"/>
      <c r="C26" s="274"/>
      <c r="D26" s="276"/>
      <c r="E26" s="273"/>
      <c r="F26" s="274"/>
      <c r="G26" s="115"/>
      <c r="H26" s="273"/>
      <c r="I26" s="274"/>
      <c r="J26" s="276"/>
      <c r="K26" s="273"/>
      <c r="L26" s="274"/>
      <c r="M26" s="117"/>
      <c r="N26" s="296"/>
      <c r="O26" s="297"/>
      <c r="P26" s="298"/>
      <c r="Q26" s="339"/>
      <c r="R26" s="296"/>
      <c r="S26" s="298"/>
      <c r="T26" s="273"/>
      <c r="U26" s="328"/>
      <c r="V26" s="328"/>
      <c r="W26" s="274"/>
      <c r="X26" s="116"/>
      <c r="Y26" s="273"/>
      <c r="Z26" s="274"/>
      <c r="AA26" s="276"/>
      <c r="AB26" s="273"/>
      <c r="AC26" s="274"/>
      <c r="AD26" s="114"/>
      <c r="AE26" s="273"/>
      <c r="AF26" s="328"/>
      <c r="AG26" s="274"/>
      <c r="AH26" s="114"/>
      <c r="AI26" s="114"/>
      <c r="AJ26" s="114"/>
      <c r="AK26" s="114"/>
      <c r="AL26" s="114"/>
    </row>
    <row r="27" spans="2:38" ht="31.5" customHeight="1">
      <c r="B27" s="330" t="s">
        <v>34</v>
      </c>
      <c r="C27" s="272"/>
      <c r="D27" s="283">
        <v>1</v>
      </c>
      <c r="E27" s="342" t="s">
        <v>35</v>
      </c>
      <c r="F27" s="272"/>
      <c r="G27" s="115"/>
      <c r="H27" s="282" t="s">
        <v>16</v>
      </c>
      <c r="I27" s="272"/>
      <c r="J27" s="283">
        <f>COUNT(J10:J19)</f>
        <v>3</v>
      </c>
      <c r="K27" s="284" t="s">
        <v>158</v>
      </c>
      <c r="L27" s="272"/>
      <c r="M27" s="117"/>
      <c r="N27" s="324" t="s">
        <v>51</v>
      </c>
      <c r="O27" s="294"/>
      <c r="P27" s="295"/>
      <c r="Q27" s="331">
        <f>COUNT(R10:R19)</f>
        <v>5</v>
      </c>
      <c r="R27" s="335" t="s">
        <v>159</v>
      </c>
      <c r="S27" s="295"/>
      <c r="T27" s="326"/>
      <c r="U27" s="327"/>
      <c r="V27" s="327"/>
      <c r="W27" s="272"/>
      <c r="X27" s="116"/>
      <c r="Y27" s="282" t="s">
        <v>16</v>
      </c>
      <c r="Z27" s="272"/>
      <c r="AA27" s="283">
        <f>COUNT(AA10:AA19)</f>
        <v>2</v>
      </c>
      <c r="AB27" s="284"/>
      <c r="AC27" s="272"/>
      <c r="AD27" s="114"/>
      <c r="AE27" s="326"/>
      <c r="AF27" s="327"/>
      <c r="AG27" s="272"/>
      <c r="AH27" s="114"/>
      <c r="AI27" s="114"/>
      <c r="AJ27" s="114"/>
      <c r="AK27" s="114"/>
      <c r="AL27" s="114"/>
    </row>
    <row r="28" spans="2:38" ht="31.5" customHeight="1">
      <c r="B28" s="273"/>
      <c r="C28" s="274"/>
      <c r="D28" s="276"/>
      <c r="E28" s="285"/>
      <c r="F28" s="286"/>
      <c r="G28" s="115"/>
      <c r="H28" s="273"/>
      <c r="I28" s="274"/>
      <c r="J28" s="276"/>
      <c r="K28" s="285"/>
      <c r="L28" s="286"/>
      <c r="M28" s="117"/>
      <c r="N28" s="296"/>
      <c r="O28" s="297"/>
      <c r="P28" s="298"/>
      <c r="Q28" s="340"/>
      <c r="R28" s="296"/>
      <c r="S28" s="298"/>
      <c r="T28" s="285"/>
      <c r="U28" s="309"/>
      <c r="V28" s="309"/>
      <c r="W28" s="286"/>
      <c r="X28" s="116"/>
      <c r="Y28" s="273"/>
      <c r="Z28" s="274"/>
      <c r="AA28" s="276"/>
      <c r="AB28" s="285"/>
      <c r="AC28" s="286"/>
      <c r="AD28" s="114"/>
      <c r="AE28" s="273"/>
      <c r="AF28" s="328"/>
      <c r="AG28" s="274"/>
      <c r="AH28" s="114"/>
      <c r="AI28" s="114"/>
      <c r="AJ28" s="114"/>
      <c r="AK28" s="114"/>
      <c r="AL28" s="114"/>
    </row>
    <row r="29" spans="2:38" ht="31.5" customHeight="1">
      <c r="B29" s="341" t="s">
        <v>37</v>
      </c>
      <c r="C29" s="272"/>
      <c r="D29" s="288">
        <v>1</v>
      </c>
      <c r="E29" s="285"/>
      <c r="F29" s="286"/>
      <c r="G29" s="115"/>
      <c r="H29" s="287" t="s">
        <v>17</v>
      </c>
      <c r="I29" s="272"/>
      <c r="J29" s="289">
        <f>COUNT(K10:K19)</f>
        <v>1</v>
      </c>
      <c r="K29" s="285"/>
      <c r="L29" s="286"/>
      <c r="M29" s="116"/>
      <c r="N29" s="293" t="s">
        <v>50</v>
      </c>
      <c r="O29" s="294"/>
      <c r="P29" s="295"/>
      <c r="Q29" s="338">
        <f>COUNT(S10:S19)</f>
        <v>5</v>
      </c>
      <c r="R29" s="337" t="s">
        <v>77</v>
      </c>
      <c r="S29" s="295"/>
      <c r="T29" s="285"/>
      <c r="U29" s="309"/>
      <c r="V29" s="309"/>
      <c r="W29" s="286"/>
      <c r="X29" s="116"/>
      <c r="Y29" s="287" t="s">
        <v>17</v>
      </c>
      <c r="Z29" s="272"/>
      <c r="AA29" s="289">
        <f>COUNT(AB10:AB19)</f>
        <v>1</v>
      </c>
      <c r="AB29" s="285"/>
      <c r="AC29" s="286"/>
      <c r="AD29" s="114"/>
      <c r="AE29" s="326"/>
      <c r="AF29" s="327"/>
      <c r="AG29" s="272"/>
      <c r="AH29" s="114"/>
      <c r="AI29" s="114"/>
      <c r="AJ29" s="114"/>
      <c r="AK29" s="114"/>
      <c r="AL29" s="114"/>
    </row>
    <row r="30" spans="2:38" ht="31.5" customHeight="1">
      <c r="B30" s="273"/>
      <c r="C30" s="274"/>
      <c r="D30" s="276"/>
      <c r="E30" s="285"/>
      <c r="F30" s="286"/>
      <c r="G30" s="115"/>
      <c r="H30" s="273"/>
      <c r="I30" s="274"/>
      <c r="J30" s="276"/>
      <c r="K30" s="285"/>
      <c r="L30" s="286"/>
      <c r="M30" s="116"/>
      <c r="N30" s="296"/>
      <c r="O30" s="297"/>
      <c r="P30" s="298"/>
      <c r="Q30" s="339"/>
      <c r="R30" s="296"/>
      <c r="S30" s="298"/>
      <c r="T30" s="285"/>
      <c r="U30" s="309"/>
      <c r="V30" s="309"/>
      <c r="W30" s="286"/>
      <c r="X30" s="116"/>
      <c r="Y30" s="273"/>
      <c r="Z30" s="274"/>
      <c r="AA30" s="276"/>
      <c r="AB30" s="285"/>
      <c r="AC30" s="286"/>
      <c r="AD30" s="114"/>
      <c r="AE30" s="273"/>
      <c r="AF30" s="328"/>
      <c r="AG30" s="274"/>
      <c r="AH30" s="114"/>
      <c r="AI30" s="114"/>
      <c r="AJ30" s="114"/>
      <c r="AK30" s="114"/>
      <c r="AL30" s="114"/>
    </row>
    <row r="31" spans="2:38" ht="31.5" customHeight="1">
      <c r="B31" s="330" t="s">
        <v>38</v>
      </c>
      <c r="C31" s="272"/>
      <c r="D31" s="283">
        <f>D23</f>
        <v>5</v>
      </c>
      <c r="E31" s="285"/>
      <c r="F31" s="286"/>
      <c r="G31" s="115"/>
      <c r="H31" s="282" t="s">
        <v>39</v>
      </c>
      <c r="I31" s="272"/>
      <c r="J31" s="283">
        <v>0</v>
      </c>
      <c r="K31" s="285"/>
      <c r="L31" s="286"/>
      <c r="M31" s="114"/>
      <c r="N31" s="324" t="s">
        <v>58</v>
      </c>
      <c r="O31" s="294"/>
      <c r="P31" s="295"/>
      <c r="Q31" s="331">
        <f>COUNT(T10:T19)</f>
        <v>5</v>
      </c>
      <c r="R31" s="335" t="s">
        <v>78</v>
      </c>
      <c r="S31" s="295"/>
      <c r="T31" s="285"/>
      <c r="U31" s="309"/>
      <c r="V31" s="309"/>
      <c r="W31" s="286"/>
      <c r="X31" s="114"/>
      <c r="Y31" s="282" t="s">
        <v>39</v>
      </c>
      <c r="Z31" s="272"/>
      <c r="AA31" s="283">
        <v>0</v>
      </c>
      <c r="AB31" s="285"/>
      <c r="AC31" s="286"/>
      <c r="AD31" s="114"/>
      <c r="AE31" s="326"/>
      <c r="AF31" s="327"/>
      <c r="AG31" s="272"/>
      <c r="AH31" s="114"/>
      <c r="AI31" s="114"/>
      <c r="AJ31" s="114"/>
      <c r="AK31" s="114"/>
      <c r="AL31" s="114"/>
    </row>
    <row r="32" spans="2:38" ht="31.5" customHeight="1">
      <c r="B32" s="273"/>
      <c r="C32" s="274"/>
      <c r="D32" s="276"/>
      <c r="E32" s="273"/>
      <c r="F32" s="274"/>
      <c r="G32" s="115"/>
      <c r="H32" s="273"/>
      <c r="I32" s="274"/>
      <c r="J32" s="276"/>
      <c r="K32" s="273"/>
      <c r="L32" s="274"/>
      <c r="M32" s="114"/>
      <c r="N32" s="296"/>
      <c r="O32" s="297"/>
      <c r="P32" s="298"/>
      <c r="Q32" s="340"/>
      <c r="R32" s="296"/>
      <c r="S32" s="298"/>
      <c r="T32" s="285"/>
      <c r="U32" s="309"/>
      <c r="V32" s="309"/>
      <c r="W32" s="286"/>
      <c r="X32" s="114"/>
      <c r="Y32" s="273"/>
      <c r="Z32" s="274"/>
      <c r="AA32" s="276"/>
      <c r="AB32" s="273"/>
      <c r="AC32" s="274"/>
      <c r="AD32" s="114"/>
      <c r="AE32" s="273"/>
      <c r="AF32" s="328"/>
      <c r="AG32" s="274"/>
      <c r="AH32" s="114"/>
      <c r="AI32" s="114"/>
      <c r="AJ32" s="114"/>
      <c r="AK32" s="114"/>
      <c r="AL32" s="114"/>
    </row>
    <row r="33" spans="2:38" ht="31.5" customHeight="1">
      <c r="B33" s="114"/>
      <c r="C33" s="114"/>
      <c r="D33" s="114"/>
      <c r="E33" s="114"/>
      <c r="F33" s="114"/>
      <c r="G33" s="114"/>
      <c r="H33" s="114"/>
      <c r="I33" s="114"/>
      <c r="J33" s="114"/>
      <c r="K33" s="114"/>
      <c r="L33" s="114"/>
      <c r="M33" s="114"/>
      <c r="N33" s="293" t="s">
        <v>38</v>
      </c>
      <c r="O33" s="294"/>
      <c r="P33" s="295"/>
      <c r="Q33" s="338">
        <f>COUNT(U10:U19)</f>
        <v>5</v>
      </c>
      <c r="R33" s="337" t="s">
        <v>160</v>
      </c>
      <c r="S33" s="295"/>
      <c r="T33" s="285"/>
      <c r="U33" s="309"/>
      <c r="V33" s="309"/>
      <c r="W33" s="286"/>
      <c r="X33" s="114"/>
      <c r="AB33" s="114"/>
      <c r="AC33" s="114"/>
      <c r="AD33" s="114"/>
      <c r="AE33" s="326"/>
      <c r="AF33" s="327"/>
      <c r="AG33" s="272"/>
      <c r="AH33" s="114"/>
      <c r="AI33" s="114"/>
      <c r="AJ33" s="114"/>
      <c r="AK33" s="114"/>
      <c r="AL33" s="114"/>
    </row>
    <row r="34" spans="2:38" ht="31.5" customHeight="1"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4"/>
      <c r="N34" s="296"/>
      <c r="O34" s="297"/>
      <c r="P34" s="298"/>
      <c r="Q34" s="339"/>
      <c r="R34" s="296"/>
      <c r="S34" s="298"/>
      <c r="T34" s="285"/>
      <c r="U34" s="309"/>
      <c r="V34" s="309"/>
      <c r="W34" s="286"/>
      <c r="X34" s="114"/>
      <c r="AB34" s="114"/>
      <c r="AC34" s="114"/>
      <c r="AD34" s="114"/>
      <c r="AE34" s="273"/>
      <c r="AF34" s="328"/>
      <c r="AG34" s="274"/>
      <c r="AH34" s="114"/>
      <c r="AI34" s="114"/>
      <c r="AJ34" s="114"/>
      <c r="AK34" s="114"/>
      <c r="AL34" s="114"/>
    </row>
    <row r="35" spans="2:38" ht="31.5" customHeight="1"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4"/>
      <c r="N35" s="324" t="s">
        <v>151</v>
      </c>
      <c r="O35" s="294"/>
      <c r="P35" s="295"/>
      <c r="Q35" s="331">
        <f>COUNT(V10:V19)</f>
        <v>5</v>
      </c>
      <c r="R35" s="335" t="s">
        <v>152</v>
      </c>
      <c r="S35" s="295"/>
      <c r="T35" s="285"/>
      <c r="U35" s="309"/>
      <c r="V35" s="309"/>
      <c r="W35" s="286"/>
      <c r="X35" s="114"/>
      <c r="AB35" s="114"/>
      <c r="AC35" s="114"/>
      <c r="AD35" s="114"/>
      <c r="AE35" s="326"/>
      <c r="AF35" s="327"/>
      <c r="AG35" s="272"/>
      <c r="AH35" s="114"/>
      <c r="AI35" s="114"/>
      <c r="AJ35" s="114"/>
      <c r="AK35" s="114"/>
      <c r="AL35" s="114"/>
    </row>
    <row r="36" spans="2:38" ht="31.5" customHeight="1">
      <c r="B36" s="114"/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296"/>
      <c r="O36" s="297"/>
      <c r="P36" s="298"/>
      <c r="Q36" s="340"/>
      <c r="R36" s="296"/>
      <c r="S36" s="298"/>
      <c r="T36" s="273"/>
      <c r="U36" s="328"/>
      <c r="V36" s="328"/>
      <c r="W36" s="274"/>
      <c r="X36" s="114"/>
      <c r="AB36" s="114"/>
      <c r="AC36" s="114"/>
      <c r="AD36" s="114"/>
      <c r="AE36" s="273"/>
      <c r="AF36" s="328"/>
      <c r="AG36" s="274"/>
      <c r="AH36" s="114"/>
      <c r="AI36" s="114"/>
      <c r="AJ36" s="114"/>
      <c r="AK36" s="114"/>
      <c r="AL36" s="114"/>
    </row>
    <row r="37" spans="2:38" ht="31.5" customHeight="1">
      <c r="B37" s="114"/>
      <c r="C37" s="114"/>
      <c r="D37" s="114"/>
      <c r="E37" s="114"/>
      <c r="F37" s="114"/>
      <c r="G37" s="114"/>
      <c r="X37" s="114"/>
      <c r="Y37" s="114"/>
      <c r="Z37" s="114"/>
      <c r="AA37" s="114"/>
      <c r="AB37" s="114"/>
      <c r="AC37" s="114"/>
      <c r="AD37" s="114"/>
      <c r="AE37" s="114"/>
      <c r="AF37" s="114"/>
      <c r="AG37" s="114"/>
      <c r="AH37" s="114"/>
      <c r="AI37" s="114"/>
      <c r="AJ37" s="114"/>
      <c r="AK37" s="114"/>
      <c r="AL37" s="114"/>
    </row>
    <row r="38" spans="2:38" ht="31.5" customHeight="1">
      <c r="B38" s="114"/>
      <c r="C38" s="114"/>
      <c r="D38" s="114"/>
      <c r="E38" s="114"/>
      <c r="F38" s="114"/>
      <c r="G38" s="114"/>
      <c r="X38" s="114"/>
      <c r="Y38" s="114"/>
      <c r="Z38" s="114"/>
      <c r="AA38" s="114"/>
      <c r="AB38" s="114"/>
      <c r="AC38" s="114"/>
      <c r="AD38" s="114"/>
      <c r="AE38" s="114"/>
      <c r="AF38" s="114"/>
      <c r="AG38" s="114"/>
      <c r="AH38" s="114"/>
      <c r="AI38" s="114"/>
      <c r="AJ38" s="114"/>
      <c r="AK38" s="114"/>
      <c r="AL38" s="114"/>
    </row>
    <row r="39" spans="2:38" ht="31.5" customHeight="1">
      <c r="B39" s="114"/>
      <c r="C39" s="114"/>
      <c r="D39" s="114"/>
      <c r="E39" s="114"/>
      <c r="F39" s="114"/>
      <c r="G39" s="114"/>
      <c r="X39" s="114"/>
      <c r="Y39" s="114"/>
      <c r="Z39" s="114"/>
      <c r="AA39" s="114"/>
      <c r="AB39" s="114"/>
      <c r="AC39" s="114"/>
      <c r="AD39" s="114"/>
      <c r="AE39" s="114"/>
      <c r="AF39" s="114"/>
      <c r="AG39" s="114"/>
      <c r="AH39" s="114"/>
      <c r="AI39" s="114"/>
      <c r="AJ39" s="114"/>
      <c r="AK39" s="114"/>
      <c r="AL39" s="114"/>
    </row>
    <row r="40" spans="2:38" ht="31.5" customHeight="1">
      <c r="B40" s="114"/>
      <c r="C40" s="114"/>
      <c r="D40" s="114"/>
      <c r="E40" s="114"/>
      <c r="F40" s="114"/>
      <c r="G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114"/>
      <c r="AH40" s="114"/>
      <c r="AI40" s="114"/>
      <c r="AJ40" s="114"/>
      <c r="AK40" s="114"/>
      <c r="AL40" s="114"/>
    </row>
    <row r="41" spans="2:38" ht="31.5" customHeight="1">
      <c r="B41" s="114"/>
      <c r="C41" s="114"/>
      <c r="D41" s="114"/>
      <c r="E41" s="114"/>
      <c r="F41" s="114"/>
      <c r="G41" s="114"/>
      <c r="X41" s="114"/>
      <c r="Y41" s="114"/>
      <c r="Z41" s="114"/>
      <c r="AA41" s="114"/>
      <c r="AB41" s="114"/>
      <c r="AC41" s="114"/>
      <c r="AD41" s="114"/>
      <c r="AE41" s="114"/>
      <c r="AF41" s="114"/>
      <c r="AG41" s="114"/>
      <c r="AH41" s="114"/>
      <c r="AI41" s="114"/>
      <c r="AJ41" s="114"/>
      <c r="AK41" s="114"/>
      <c r="AL41" s="114"/>
    </row>
    <row r="42" spans="2:38" ht="31.5" customHeight="1">
      <c r="B42" s="114"/>
      <c r="C42" s="114"/>
      <c r="D42" s="114"/>
      <c r="E42" s="114"/>
      <c r="F42" s="114"/>
      <c r="G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114"/>
      <c r="AJ42" s="114"/>
      <c r="AK42" s="114"/>
      <c r="AL42" s="114"/>
    </row>
    <row r="43" spans="2:38" ht="31.5" customHeight="1">
      <c r="B43" s="114"/>
      <c r="C43" s="114"/>
      <c r="D43" s="114"/>
      <c r="E43" s="114"/>
      <c r="F43" s="114"/>
      <c r="G43" s="114"/>
      <c r="X43" s="114"/>
      <c r="Y43" s="114"/>
      <c r="Z43" s="114"/>
      <c r="AA43" s="114"/>
      <c r="AB43" s="114"/>
      <c r="AC43" s="114"/>
      <c r="AD43" s="114"/>
      <c r="AE43" s="114"/>
      <c r="AF43" s="114"/>
      <c r="AG43" s="114"/>
      <c r="AH43" s="114"/>
      <c r="AI43" s="114"/>
      <c r="AJ43" s="114"/>
      <c r="AK43" s="114"/>
      <c r="AL43" s="114"/>
    </row>
    <row r="44" spans="2:38" ht="31.5" customHeight="1">
      <c r="B44" s="114"/>
      <c r="C44" s="114"/>
      <c r="D44" s="114"/>
      <c r="G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</row>
    <row r="45" spans="2:38" ht="31.5" customHeight="1">
      <c r="B45" s="114"/>
      <c r="C45" s="114"/>
      <c r="D45" s="114"/>
      <c r="G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114"/>
      <c r="AJ45" s="114"/>
      <c r="AK45" s="114"/>
      <c r="AL45" s="114"/>
    </row>
    <row r="46" spans="2:38" ht="31.5" customHeight="1">
      <c r="B46" s="114"/>
      <c r="C46" s="114"/>
      <c r="D46" s="114"/>
      <c r="G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</row>
    <row r="47" spans="2:38" ht="31.5" customHeight="1">
      <c r="B47" s="114"/>
      <c r="C47" s="114"/>
      <c r="D47" s="114"/>
      <c r="G47" s="114"/>
      <c r="X47" s="114"/>
      <c r="Y47" s="114"/>
      <c r="Z47" s="114"/>
      <c r="AA47" s="114"/>
      <c r="AB47" s="114"/>
      <c r="AC47" s="114"/>
      <c r="AD47" s="114"/>
      <c r="AE47" s="114"/>
      <c r="AF47" s="114"/>
      <c r="AG47" s="114"/>
      <c r="AH47" s="114"/>
      <c r="AI47" s="114"/>
      <c r="AJ47" s="114"/>
      <c r="AK47" s="114"/>
      <c r="AL47" s="114"/>
    </row>
    <row r="48" spans="2:38" ht="31.5" customHeight="1">
      <c r="B48" s="114"/>
      <c r="C48" s="114"/>
      <c r="D48" s="114"/>
      <c r="G48" s="114"/>
      <c r="X48" s="114"/>
      <c r="Y48" s="114"/>
      <c r="Z48" s="114"/>
      <c r="AA48" s="114"/>
      <c r="AB48" s="114"/>
      <c r="AC48" s="114"/>
      <c r="AD48" s="114"/>
      <c r="AE48" s="114"/>
      <c r="AF48" s="114"/>
      <c r="AG48" s="114"/>
      <c r="AH48" s="114"/>
      <c r="AI48" s="114"/>
      <c r="AJ48" s="114"/>
      <c r="AK48" s="114"/>
      <c r="AL48" s="114"/>
    </row>
    <row r="49" spans="2:38" ht="31.5" customHeight="1">
      <c r="B49" s="114"/>
      <c r="C49" s="114"/>
      <c r="D49" s="114"/>
      <c r="G49" s="114"/>
      <c r="X49" s="114"/>
      <c r="Y49" s="114"/>
      <c r="Z49" s="114"/>
      <c r="AA49" s="114"/>
      <c r="AB49" s="114"/>
      <c r="AC49" s="114"/>
      <c r="AD49" s="114"/>
      <c r="AE49" s="114"/>
      <c r="AF49" s="114"/>
      <c r="AG49" s="114"/>
      <c r="AH49" s="114"/>
      <c r="AI49" s="114"/>
      <c r="AJ49" s="114"/>
      <c r="AK49" s="114"/>
      <c r="AL49" s="114"/>
    </row>
    <row r="50" spans="2:38" ht="31.5" customHeight="1">
      <c r="B50" s="114"/>
      <c r="C50" s="114"/>
      <c r="D50" s="114"/>
      <c r="G50" s="114"/>
      <c r="X50" s="114"/>
      <c r="Y50" s="114"/>
      <c r="Z50" s="114"/>
      <c r="AA50" s="114"/>
      <c r="AB50" s="114"/>
      <c r="AC50" s="114"/>
      <c r="AD50" s="114"/>
      <c r="AE50" s="114"/>
      <c r="AF50" s="114"/>
      <c r="AG50" s="114"/>
      <c r="AH50" s="114"/>
      <c r="AI50" s="114"/>
      <c r="AJ50" s="114"/>
      <c r="AK50" s="114"/>
      <c r="AL50" s="114"/>
    </row>
    <row r="51" spans="2:38" ht="31.5" customHeight="1">
      <c r="B51" s="114"/>
      <c r="C51" s="114"/>
      <c r="D51" s="114"/>
      <c r="G51" s="114"/>
      <c r="X51" s="114"/>
      <c r="Y51" s="114"/>
      <c r="Z51" s="114"/>
      <c r="AA51" s="114"/>
      <c r="AB51" s="114"/>
      <c r="AC51" s="114"/>
      <c r="AD51" s="114"/>
      <c r="AE51" s="114"/>
      <c r="AF51" s="114"/>
      <c r="AG51" s="114"/>
      <c r="AH51" s="114"/>
      <c r="AI51" s="114"/>
      <c r="AJ51" s="114"/>
      <c r="AK51" s="114"/>
      <c r="AL51" s="114"/>
    </row>
    <row r="52" spans="2:38" ht="31.5" customHeight="1">
      <c r="B52" s="114"/>
      <c r="C52" s="114"/>
      <c r="D52" s="114"/>
      <c r="G52" s="114"/>
      <c r="Q52" s="114"/>
      <c r="R52" s="114"/>
      <c r="S52" s="114"/>
      <c r="T52" s="114"/>
      <c r="U52" s="114"/>
      <c r="V52" s="114"/>
      <c r="W52" s="114"/>
      <c r="X52" s="114"/>
      <c r="Y52" s="114"/>
      <c r="Z52" s="114"/>
      <c r="AA52" s="114"/>
      <c r="AB52" s="114"/>
      <c r="AC52" s="114"/>
      <c r="AD52" s="114"/>
      <c r="AE52" s="114"/>
      <c r="AF52" s="114"/>
      <c r="AG52" s="114"/>
      <c r="AH52" s="114"/>
      <c r="AI52" s="114"/>
      <c r="AJ52" s="114"/>
      <c r="AK52" s="114"/>
      <c r="AL52" s="114"/>
    </row>
    <row r="53" spans="2:38" ht="31.5" customHeight="1">
      <c r="B53" s="114"/>
      <c r="C53" s="114"/>
      <c r="D53" s="114"/>
      <c r="G53" s="114"/>
      <c r="Q53" s="114"/>
      <c r="R53" s="114"/>
      <c r="S53" s="114"/>
      <c r="T53" s="114"/>
      <c r="U53" s="114"/>
      <c r="V53" s="114"/>
      <c r="W53" s="114"/>
      <c r="X53" s="114"/>
      <c r="Y53" s="114"/>
      <c r="Z53" s="114"/>
      <c r="AA53" s="114"/>
      <c r="AB53" s="114"/>
      <c r="AC53" s="114"/>
      <c r="AD53" s="114"/>
      <c r="AE53" s="114"/>
      <c r="AF53" s="114"/>
      <c r="AG53" s="114"/>
      <c r="AH53" s="114"/>
      <c r="AI53" s="114"/>
      <c r="AJ53" s="114"/>
      <c r="AK53" s="114"/>
      <c r="AL53" s="114"/>
    </row>
    <row r="54" spans="2:38" ht="31.5" customHeight="1">
      <c r="B54" s="114"/>
      <c r="C54" s="114"/>
      <c r="D54" s="114"/>
      <c r="E54" s="114"/>
      <c r="F54" s="114"/>
      <c r="G54" s="114"/>
      <c r="Q54" s="114"/>
      <c r="R54" s="114"/>
      <c r="S54" s="114"/>
      <c r="T54" s="114"/>
      <c r="U54" s="114"/>
      <c r="V54" s="114"/>
      <c r="W54" s="114"/>
      <c r="X54" s="114"/>
      <c r="Y54" s="114"/>
      <c r="Z54" s="114"/>
      <c r="AA54" s="114"/>
      <c r="AB54" s="114"/>
      <c r="AC54" s="114"/>
      <c r="AD54" s="114"/>
      <c r="AE54" s="114"/>
      <c r="AF54" s="114"/>
      <c r="AG54" s="114"/>
      <c r="AH54" s="114"/>
      <c r="AI54" s="114"/>
      <c r="AJ54" s="114"/>
      <c r="AK54" s="114"/>
      <c r="AL54" s="114"/>
    </row>
    <row r="55" spans="2:38" ht="31.5" customHeight="1">
      <c r="B55" s="114"/>
      <c r="C55" s="114"/>
      <c r="D55" s="114"/>
      <c r="E55" s="114"/>
      <c r="F55" s="114"/>
      <c r="G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</row>
    <row r="56" spans="2:38" ht="31.5" customHeight="1">
      <c r="B56" s="114"/>
      <c r="C56" s="114"/>
      <c r="D56" s="114"/>
      <c r="E56" s="114"/>
      <c r="F56" s="114"/>
      <c r="G56" s="114"/>
      <c r="Q56" s="114"/>
      <c r="R56" s="114"/>
      <c r="S56" s="114"/>
      <c r="T56" s="114"/>
      <c r="U56" s="114"/>
      <c r="V56" s="114"/>
      <c r="W56" s="114"/>
      <c r="X56" s="114"/>
      <c r="Y56" s="114"/>
      <c r="Z56" s="114"/>
      <c r="AA56" s="114"/>
      <c r="AB56" s="114"/>
      <c r="AC56" s="114"/>
      <c r="AD56" s="114"/>
      <c r="AE56" s="114"/>
      <c r="AF56" s="114"/>
      <c r="AG56" s="114"/>
      <c r="AH56" s="114"/>
      <c r="AI56" s="114"/>
      <c r="AJ56" s="114"/>
      <c r="AK56" s="114"/>
      <c r="AL56" s="114"/>
    </row>
    <row r="57" spans="2:38" ht="31.5" customHeight="1">
      <c r="B57" s="114"/>
      <c r="C57" s="114"/>
      <c r="D57" s="114"/>
      <c r="E57" s="114"/>
      <c r="F57" s="114"/>
      <c r="G57" s="114"/>
      <c r="Q57" s="114"/>
      <c r="R57" s="114"/>
      <c r="S57" s="114"/>
      <c r="T57" s="114"/>
      <c r="U57" s="114"/>
      <c r="V57" s="114"/>
      <c r="W57" s="114"/>
      <c r="X57" s="114"/>
      <c r="Y57" s="114"/>
      <c r="Z57" s="114"/>
      <c r="AA57" s="114"/>
      <c r="AB57" s="114"/>
      <c r="AC57" s="114"/>
      <c r="AD57" s="114"/>
      <c r="AE57" s="114"/>
      <c r="AF57" s="114"/>
      <c r="AG57" s="114"/>
      <c r="AH57" s="114"/>
      <c r="AI57" s="114"/>
      <c r="AJ57" s="114"/>
      <c r="AK57" s="114"/>
      <c r="AL57" s="114"/>
    </row>
    <row r="58" spans="2:38" ht="31.5" customHeight="1">
      <c r="B58" s="114"/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/>
      <c r="V58" s="114"/>
      <c r="W58" s="114"/>
      <c r="X58" s="114"/>
      <c r="Y58" s="114"/>
      <c r="Z58" s="114"/>
      <c r="AA58" s="114"/>
      <c r="AB58" s="114"/>
      <c r="AC58" s="114"/>
      <c r="AD58" s="114"/>
      <c r="AE58" s="114"/>
      <c r="AF58" s="114"/>
      <c r="AG58" s="114"/>
      <c r="AH58" s="114"/>
      <c r="AI58" s="114"/>
      <c r="AJ58" s="114"/>
      <c r="AK58" s="114"/>
      <c r="AL58" s="114"/>
    </row>
    <row r="59" spans="2:38" ht="31.5" customHeight="1">
      <c r="B59" s="114"/>
      <c r="C59" s="114"/>
      <c r="D59" s="114"/>
      <c r="E59" s="114"/>
      <c r="F59" s="114"/>
      <c r="G59" s="114"/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4"/>
      <c r="AA59" s="114"/>
      <c r="AB59" s="114"/>
      <c r="AC59" s="114"/>
      <c r="AD59" s="114"/>
      <c r="AE59" s="114"/>
      <c r="AF59" s="114"/>
      <c r="AG59" s="114"/>
      <c r="AH59" s="114"/>
      <c r="AI59" s="114"/>
      <c r="AJ59" s="114"/>
      <c r="AK59" s="114"/>
      <c r="AL59" s="114"/>
    </row>
    <row r="60" spans="2:38" ht="31.5" customHeight="1">
      <c r="B60" s="114"/>
      <c r="C60" s="114"/>
      <c r="D60" s="114"/>
      <c r="E60" s="114"/>
      <c r="F60" s="114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/>
      <c r="V60" s="114"/>
      <c r="W60" s="114"/>
      <c r="X60" s="114"/>
      <c r="Y60" s="114"/>
      <c r="Z60" s="114"/>
      <c r="AA60" s="114"/>
      <c r="AB60" s="114"/>
      <c r="AC60" s="114"/>
      <c r="AD60" s="114"/>
      <c r="AE60" s="114"/>
      <c r="AF60" s="114"/>
      <c r="AG60" s="114"/>
      <c r="AH60" s="114"/>
      <c r="AI60" s="114"/>
      <c r="AJ60" s="114"/>
      <c r="AK60" s="114"/>
      <c r="AL60" s="114"/>
    </row>
    <row r="61" spans="2:38" ht="31.5" customHeight="1"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4"/>
      <c r="AA61" s="114"/>
      <c r="AB61" s="114"/>
      <c r="AC61" s="114"/>
      <c r="AD61" s="114"/>
      <c r="AE61" s="114"/>
      <c r="AF61" s="114"/>
      <c r="AG61" s="114"/>
      <c r="AH61" s="114"/>
      <c r="AI61" s="114"/>
      <c r="AJ61" s="114"/>
      <c r="AK61" s="114"/>
      <c r="AL61" s="114"/>
    </row>
    <row r="62" spans="2:38" ht="31.5" customHeight="1"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/>
      <c r="V62" s="114"/>
      <c r="W62" s="114"/>
      <c r="X62" s="114"/>
      <c r="Y62" s="114"/>
      <c r="Z62" s="114"/>
      <c r="AA62" s="114"/>
      <c r="AB62" s="114"/>
      <c r="AC62" s="114"/>
      <c r="AD62" s="114"/>
      <c r="AE62" s="114"/>
      <c r="AF62" s="114"/>
      <c r="AG62" s="114"/>
      <c r="AH62" s="114"/>
      <c r="AI62" s="114"/>
      <c r="AJ62" s="114"/>
      <c r="AK62" s="114"/>
      <c r="AL62" s="114"/>
    </row>
    <row r="63" spans="2:38" ht="31.5" customHeight="1"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114"/>
      <c r="AI63" s="114"/>
      <c r="AJ63" s="114"/>
      <c r="AK63" s="114"/>
      <c r="AL63" s="114"/>
    </row>
    <row r="64" spans="2:38" ht="31.5" customHeight="1"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/>
      <c r="V64" s="114"/>
      <c r="W64" s="114"/>
      <c r="X64" s="114"/>
      <c r="Y64" s="114"/>
      <c r="Z64" s="114"/>
      <c r="AA64" s="114"/>
      <c r="AB64" s="114"/>
      <c r="AC64" s="114"/>
      <c r="AD64" s="114"/>
      <c r="AE64" s="114"/>
      <c r="AF64" s="114"/>
      <c r="AG64" s="114"/>
      <c r="AH64" s="114"/>
      <c r="AI64" s="114"/>
      <c r="AJ64" s="114"/>
      <c r="AK64" s="114"/>
      <c r="AL64" s="114"/>
    </row>
    <row r="65" spans="2:38" ht="31.5" customHeight="1">
      <c r="B65" s="114"/>
      <c r="C65" s="114"/>
      <c r="D65" s="114"/>
      <c r="E65" s="114"/>
      <c r="F65" s="114"/>
      <c r="G65" s="114"/>
      <c r="H65" s="114"/>
      <c r="I65" s="114"/>
      <c r="J65" s="114"/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4"/>
      <c r="AA65" s="114"/>
      <c r="AB65" s="114"/>
      <c r="AC65" s="114"/>
      <c r="AD65" s="114"/>
      <c r="AE65" s="114"/>
      <c r="AF65" s="114"/>
      <c r="AG65" s="114"/>
      <c r="AH65" s="114"/>
      <c r="AI65" s="114"/>
      <c r="AJ65" s="114"/>
      <c r="AK65" s="114"/>
      <c r="AL65" s="114"/>
    </row>
    <row r="66" spans="2:38" ht="31.5" customHeight="1">
      <c r="B66" s="114"/>
      <c r="C66" s="114"/>
      <c r="D66" s="114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114"/>
      <c r="AI66" s="114"/>
      <c r="AJ66" s="114"/>
      <c r="AK66" s="114"/>
      <c r="AL66" s="114"/>
    </row>
    <row r="67" spans="2:38" ht="31.5" customHeight="1">
      <c r="B67" s="114"/>
      <c r="C67" s="114"/>
      <c r="D67" s="114"/>
      <c r="E67" s="114"/>
      <c r="F67" s="114"/>
      <c r="G67" s="114"/>
      <c r="H67" s="114"/>
      <c r="I67" s="114"/>
      <c r="J67" s="114"/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  <c r="AB67" s="114"/>
      <c r="AC67" s="114"/>
      <c r="AD67" s="114"/>
      <c r="AE67" s="114"/>
      <c r="AF67" s="114"/>
      <c r="AG67" s="114"/>
      <c r="AH67" s="114"/>
      <c r="AI67" s="114"/>
      <c r="AJ67" s="114"/>
      <c r="AK67" s="114"/>
      <c r="AL67" s="114"/>
    </row>
    <row r="68" spans="2:38" ht="31.5" customHeight="1">
      <c r="B68" s="114"/>
      <c r="C68" s="114"/>
      <c r="D68" s="114"/>
      <c r="E68" s="114"/>
      <c r="F68" s="114"/>
      <c r="G68" s="114"/>
      <c r="H68" s="114"/>
      <c r="I68" s="114"/>
      <c r="J68" s="114"/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4"/>
      <c r="V68" s="114"/>
      <c r="W68" s="114"/>
      <c r="X68" s="114"/>
      <c r="Y68" s="114"/>
      <c r="Z68" s="114"/>
      <c r="AA68" s="114"/>
      <c r="AB68" s="114"/>
      <c r="AC68" s="114"/>
      <c r="AD68" s="114"/>
      <c r="AE68" s="114"/>
      <c r="AF68" s="114"/>
      <c r="AG68" s="114"/>
      <c r="AH68" s="114"/>
      <c r="AI68" s="114"/>
      <c r="AJ68" s="114"/>
      <c r="AK68" s="114"/>
      <c r="AL68" s="114"/>
    </row>
    <row r="69" spans="2:38" ht="31.5" customHeight="1"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114"/>
      <c r="AI69" s="114"/>
      <c r="AJ69" s="114"/>
      <c r="AK69" s="114"/>
      <c r="AL69" s="114"/>
    </row>
    <row r="70" spans="2:38" ht="31.5" customHeight="1"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  <c r="AA70" s="114"/>
      <c r="AB70" s="114"/>
      <c r="AC70" s="114"/>
      <c r="AD70" s="114"/>
      <c r="AE70" s="114"/>
      <c r="AF70" s="114"/>
      <c r="AG70" s="114"/>
      <c r="AH70" s="114"/>
      <c r="AI70" s="114"/>
      <c r="AJ70" s="114"/>
      <c r="AK70" s="114"/>
      <c r="AL70" s="114"/>
    </row>
    <row r="71" spans="2:38" ht="31.5" customHeight="1"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4"/>
      <c r="AA71" s="114"/>
      <c r="AB71" s="114"/>
      <c r="AC71" s="114"/>
      <c r="AD71" s="114"/>
      <c r="AE71" s="114"/>
      <c r="AF71" s="114"/>
      <c r="AG71" s="114"/>
      <c r="AH71" s="114"/>
      <c r="AI71" s="114"/>
      <c r="AJ71" s="114"/>
      <c r="AK71" s="114"/>
      <c r="AL71" s="114"/>
    </row>
    <row r="72" spans="2:38" ht="31.5" customHeight="1"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114"/>
      <c r="AI72" s="114"/>
      <c r="AJ72" s="114"/>
      <c r="AK72" s="114"/>
      <c r="AL72" s="114"/>
    </row>
    <row r="73" spans="2:38" ht="31.5" customHeight="1">
      <c r="B73" s="114"/>
      <c r="C73" s="114"/>
      <c r="D73" s="114"/>
      <c r="E73" s="114"/>
      <c r="F73" s="114"/>
      <c r="G73" s="114"/>
      <c r="H73" s="114"/>
      <c r="I73" s="114"/>
      <c r="J73" s="114"/>
      <c r="K73" s="114"/>
      <c r="L73" s="114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4"/>
      <c r="AA73" s="114"/>
      <c r="AB73" s="114"/>
      <c r="AC73" s="114"/>
      <c r="AD73" s="114"/>
      <c r="AE73" s="114"/>
      <c r="AF73" s="114"/>
      <c r="AG73" s="114"/>
      <c r="AH73" s="114"/>
      <c r="AI73" s="114"/>
      <c r="AJ73" s="114"/>
      <c r="AK73" s="114"/>
      <c r="AL73" s="114"/>
    </row>
    <row r="74" spans="2:38" ht="31.5" customHeight="1">
      <c r="B74" s="114"/>
      <c r="C74" s="114"/>
      <c r="D74" s="114"/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/>
      <c r="V74" s="114"/>
      <c r="W74" s="114"/>
      <c r="X74" s="114"/>
      <c r="Y74" s="114"/>
      <c r="Z74" s="114"/>
      <c r="AA74" s="114"/>
      <c r="AB74" s="114"/>
      <c r="AC74" s="114"/>
      <c r="AD74" s="114"/>
      <c r="AE74" s="114"/>
      <c r="AF74" s="114"/>
      <c r="AG74" s="114"/>
      <c r="AH74" s="114"/>
      <c r="AI74" s="114"/>
      <c r="AJ74" s="114"/>
      <c r="AK74" s="114"/>
      <c r="AL74" s="114"/>
    </row>
    <row r="75" spans="2:38" ht="31.5" customHeight="1">
      <c r="B75" s="114"/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4"/>
      <c r="AA75" s="114"/>
      <c r="AB75" s="114"/>
      <c r="AC75" s="114"/>
      <c r="AD75" s="114"/>
      <c r="AE75" s="114"/>
      <c r="AF75" s="114"/>
      <c r="AG75" s="114"/>
      <c r="AH75" s="114"/>
      <c r="AI75" s="114"/>
      <c r="AJ75" s="114"/>
      <c r="AK75" s="114"/>
      <c r="AL75" s="114"/>
    </row>
    <row r="76" spans="2:38" ht="31.5" customHeight="1">
      <c r="B76" s="114"/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114"/>
      <c r="T76" s="114"/>
      <c r="U76" s="114"/>
      <c r="V76" s="114"/>
      <c r="W76" s="114"/>
      <c r="X76" s="114"/>
      <c r="Y76" s="114"/>
      <c r="Z76" s="114"/>
      <c r="AA76" s="114"/>
      <c r="AB76" s="114"/>
      <c r="AC76" s="114"/>
      <c r="AD76" s="114"/>
      <c r="AE76" s="114"/>
      <c r="AF76" s="114"/>
      <c r="AG76" s="114"/>
      <c r="AH76" s="114"/>
      <c r="AI76" s="114"/>
      <c r="AJ76" s="114"/>
      <c r="AK76" s="114"/>
      <c r="AL76" s="114"/>
    </row>
    <row r="77" spans="2:38" ht="31.5" customHeight="1">
      <c r="B77" s="114"/>
      <c r="C77" s="114"/>
      <c r="D77" s="114"/>
      <c r="E77" s="114"/>
      <c r="F77" s="114"/>
      <c r="G77" s="114"/>
      <c r="H77" s="114"/>
      <c r="I77" s="114"/>
      <c r="J77" s="114"/>
      <c r="K77" s="114"/>
      <c r="L77" s="114"/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4"/>
      <c r="AA77" s="114"/>
      <c r="AB77" s="114"/>
      <c r="AC77" s="114"/>
      <c r="AD77" s="114"/>
      <c r="AE77" s="114"/>
      <c r="AF77" s="114"/>
      <c r="AG77" s="114"/>
      <c r="AH77" s="114"/>
      <c r="AI77" s="114"/>
      <c r="AJ77" s="114"/>
      <c r="AK77" s="114"/>
      <c r="AL77" s="114"/>
    </row>
    <row r="78" spans="2:38" ht="31.5" customHeight="1">
      <c r="B78" s="114"/>
      <c r="C78" s="114"/>
      <c r="D78" s="114"/>
      <c r="E78" s="114"/>
      <c r="F78" s="114"/>
      <c r="G78" s="114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/>
      <c r="V78" s="114"/>
      <c r="W78" s="114"/>
      <c r="X78" s="114"/>
      <c r="Y78" s="114"/>
      <c r="Z78" s="114"/>
      <c r="AA78" s="114"/>
      <c r="AB78" s="114"/>
      <c r="AC78" s="114"/>
      <c r="AD78" s="114"/>
      <c r="AE78" s="114"/>
      <c r="AF78" s="114"/>
      <c r="AG78" s="114"/>
      <c r="AH78" s="114"/>
      <c r="AI78" s="114"/>
      <c r="AJ78" s="114"/>
      <c r="AK78" s="114"/>
      <c r="AL78" s="114"/>
    </row>
    <row r="79" spans="2:38" ht="31.5" customHeight="1">
      <c r="B79" s="114"/>
      <c r="C79" s="114"/>
      <c r="D79" s="114"/>
      <c r="E79" s="114"/>
      <c r="F79" s="114"/>
      <c r="G79" s="114"/>
      <c r="H79" s="114"/>
      <c r="I79" s="114"/>
      <c r="J79" s="114"/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4"/>
      <c r="AA79" s="114"/>
      <c r="AB79" s="114"/>
      <c r="AC79" s="114"/>
      <c r="AD79" s="114"/>
      <c r="AE79" s="114"/>
      <c r="AF79" s="114"/>
      <c r="AG79" s="114"/>
      <c r="AH79" s="114"/>
      <c r="AI79" s="114"/>
      <c r="AJ79" s="114"/>
      <c r="AK79" s="114"/>
      <c r="AL79" s="114"/>
    </row>
    <row r="80" spans="2:38" ht="31.5" customHeight="1">
      <c r="B80" s="114"/>
      <c r="C80" s="114"/>
      <c r="D80" s="114"/>
      <c r="E80" s="114"/>
      <c r="F80" s="114"/>
      <c r="G80" s="114"/>
      <c r="H80" s="114"/>
      <c r="I80" s="114"/>
      <c r="J80" s="114"/>
      <c r="K80" s="114"/>
      <c r="L80" s="114"/>
      <c r="M80" s="114"/>
      <c r="N80" s="114"/>
      <c r="O80" s="114"/>
      <c r="P80" s="114"/>
      <c r="Q80" s="114"/>
      <c r="R80" s="114"/>
      <c r="S80" s="114"/>
      <c r="T80" s="114"/>
      <c r="U80" s="114"/>
      <c r="V80" s="114"/>
      <c r="W80" s="114"/>
      <c r="X80" s="114"/>
      <c r="Y80" s="114"/>
      <c r="Z80" s="114"/>
      <c r="AA80" s="114"/>
      <c r="AB80" s="114"/>
      <c r="AC80" s="114"/>
      <c r="AD80" s="114"/>
      <c r="AE80" s="114"/>
      <c r="AF80" s="114"/>
      <c r="AG80" s="114"/>
      <c r="AH80" s="114"/>
      <c r="AI80" s="114"/>
      <c r="AJ80" s="114"/>
      <c r="AK80" s="114"/>
      <c r="AL80" s="114"/>
    </row>
    <row r="81" spans="2:38" ht="31.5" customHeight="1"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  <c r="AD81" s="114"/>
      <c r="AE81" s="114"/>
      <c r="AF81" s="114"/>
      <c r="AG81" s="114"/>
      <c r="AH81" s="114"/>
      <c r="AI81" s="114"/>
      <c r="AJ81" s="114"/>
      <c r="AK81" s="114"/>
      <c r="AL81" s="114"/>
    </row>
    <row r="82" spans="2:38" ht="31.5" customHeight="1">
      <c r="B82" s="114"/>
      <c r="C82" s="114"/>
      <c r="D82" s="114"/>
      <c r="E82" s="114"/>
      <c r="F82" s="114"/>
      <c r="G82" s="114"/>
      <c r="H82" s="114"/>
      <c r="I82" s="114"/>
      <c r="J82" s="114"/>
      <c r="K82" s="114"/>
      <c r="L82" s="114"/>
      <c r="M82" s="114"/>
      <c r="N82" s="114"/>
      <c r="O82" s="114"/>
      <c r="P82" s="114"/>
      <c r="Q82" s="114"/>
      <c r="R82" s="114"/>
      <c r="S82" s="114"/>
      <c r="T82" s="114"/>
      <c r="U82" s="114"/>
      <c r="V82" s="114"/>
      <c r="W82" s="114"/>
      <c r="X82" s="114"/>
      <c r="Y82" s="114"/>
      <c r="Z82" s="114"/>
      <c r="AA82" s="114"/>
      <c r="AB82" s="114"/>
      <c r="AC82" s="114"/>
      <c r="AD82" s="114"/>
      <c r="AE82" s="114"/>
      <c r="AF82" s="114"/>
      <c r="AG82" s="114"/>
      <c r="AH82" s="114"/>
      <c r="AI82" s="114"/>
      <c r="AJ82" s="114"/>
      <c r="AK82" s="114"/>
      <c r="AL82" s="114"/>
    </row>
    <row r="83" spans="2:38" ht="31.5" customHeight="1"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4"/>
      <c r="AA83" s="114"/>
      <c r="AB83" s="114"/>
      <c r="AC83" s="114"/>
      <c r="AD83" s="114"/>
      <c r="AE83" s="114"/>
      <c r="AF83" s="114"/>
      <c r="AG83" s="114"/>
      <c r="AH83" s="114"/>
      <c r="AI83" s="114"/>
      <c r="AJ83" s="114"/>
      <c r="AK83" s="114"/>
      <c r="AL83" s="114"/>
    </row>
    <row r="84" spans="2:38" ht="31.5" customHeight="1">
      <c r="B84" s="114"/>
      <c r="C84" s="114"/>
      <c r="D84" s="114"/>
      <c r="E84" s="114"/>
      <c r="F84" s="114"/>
      <c r="G84" s="114"/>
      <c r="H84" s="114"/>
      <c r="I84" s="114"/>
      <c r="J84" s="114"/>
      <c r="K84" s="114"/>
      <c r="L84" s="114"/>
      <c r="M84" s="114"/>
      <c r="N84" s="114"/>
      <c r="O84" s="114"/>
      <c r="P84" s="114"/>
      <c r="Q84" s="114"/>
      <c r="R84" s="114"/>
      <c r="S84" s="114"/>
      <c r="T84" s="114"/>
      <c r="U84" s="114"/>
      <c r="V84" s="114"/>
      <c r="W84" s="114"/>
      <c r="X84" s="114"/>
      <c r="Y84" s="114"/>
      <c r="Z84" s="114"/>
      <c r="AA84" s="114"/>
      <c r="AB84" s="114"/>
      <c r="AC84" s="114"/>
      <c r="AD84" s="114"/>
      <c r="AE84" s="114"/>
      <c r="AF84" s="114"/>
      <c r="AG84" s="114"/>
      <c r="AH84" s="114"/>
      <c r="AI84" s="114"/>
      <c r="AJ84" s="114"/>
      <c r="AK84" s="114"/>
      <c r="AL84" s="114"/>
    </row>
    <row r="85" spans="2:38" ht="31.5" customHeight="1">
      <c r="B85" s="114"/>
      <c r="C85" s="114"/>
      <c r="D85" s="114"/>
      <c r="E85" s="114"/>
      <c r="F85" s="114"/>
      <c r="G85" s="114"/>
      <c r="H85" s="114"/>
      <c r="I85" s="114"/>
      <c r="J85" s="114"/>
      <c r="K85" s="114"/>
      <c r="L85" s="114"/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4"/>
      <c r="AA85" s="114"/>
      <c r="AB85" s="114"/>
      <c r="AC85" s="114"/>
      <c r="AD85" s="114"/>
      <c r="AE85" s="114"/>
      <c r="AF85" s="114"/>
      <c r="AG85" s="114"/>
      <c r="AH85" s="114"/>
      <c r="AI85" s="114"/>
      <c r="AJ85" s="114"/>
      <c r="AK85" s="114"/>
      <c r="AL85" s="114"/>
    </row>
    <row r="86" spans="2:38" ht="31.5" customHeight="1">
      <c r="B86" s="114"/>
      <c r="C86" s="114"/>
      <c r="D86" s="114"/>
      <c r="E86" s="114"/>
      <c r="F86" s="114"/>
      <c r="G86" s="114"/>
      <c r="H86" s="114"/>
      <c r="I86" s="114"/>
      <c r="J86" s="114"/>
      <c r="K86" s="114"/>
      <c r="L86" s="114"/>
      <c r="M86" s="114"/>
      <c r="N86" s="114"/>
      <c r="O86" s="114"/>
      <c r="P86" s="114"/>
      <c r="Q86" s="114"/>
      <c r="R86" s="114"/>
      <c r="S86" s="114"/>
      <c r="T86" s="114"/>
      <c r="U86" s="114"/>
      <c r="V86" s="114"/>
      <c r="W86" s="114"/>
      <c r="X86" s="114"/>
      <c r="Y86" s="114"/>
      <c r="Z86" s="114"/>
      <c r="AA86" s="114"/>
      <c r="AB86" s="114"/>
      <c r="AC86" s="114"/>
      <c r="AD86" s="114"/>
      <c r="AE86" s="114"/>
      <c r="AF86" s="114"/>
      <c r="AG86" s="114"/>
      <c r="AH86" s="114"/>
      <c r="AI86" s="114"/>
      <c r="AJ86" s="114"/>
      <c r="AK86" s="114"/>
      <c r="AL86" s="114"/>
    </row>
    <row r="87" spans="2:38" ht="31.5" customHeight="1">
      <c r="B87" s="114"/>
      <c r="C87" s="114"/>
      <c r="D87" s="114"/>
      <c r="E87" s="114"/>
      <c r="F87" s="114"/>
      <c r="G87" s="114"/>
      <c r="H87" s="114"/>
      <c r="I87" s="114"/>
      <c r="J87" s="114"/>
      <c r="K87" s="114"/>
      <c r="L87" s="114"/>
      <c r="M87" s="114"/>
      <c r="N87" s="114"/>
      <c r="O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4"/>
      <c r="AA87" s="114"/>
      <c r="AB87" s="114"/>
      <c r="AC87" s="114"/>
      <c r="AD87" s="114"/>
      <c r="AE87" s="114"/>
      <c r="AF87" s="114"/>
      <c r="AG87" s="114"/>
      <c r="AH87" s="114"/>
      <c r="AI87" s="114"/>
      <c r="AJ87" s="114"/>
      <c r="AK87" s="114"/>
      <c r="AL87" s="114"/>
    </row>
    <row r="88" spans="2:38" ht="31.5" customHeight="1">
      <c r="B88" s="114"/>
      <c r="C88" s="114"/>
      <c r="D88" s="114"/>
      <c r="E88" s="114"/>
      <c r="F88" s="114"/>
      <c r="G88" s="114"/>
      <c r="H88" s="114"/>
      <c r="I88" s="114"/>
      <c r="J88" s="114"/>
      <c r="K88" s="114"/>
      <c r="L88" s="114"/>
      <c r="M88" s="114"/>
      <c r="N88" s="114"/>
      <c r="O88" s="114"/>
      <c r="P88" s="114"/>
      <c r="Q88" s="114"/>
      <c r="R88" s="114"/>
      <c r="S88" s="114"/>
      <c r="T88" s="114"/>
      <c r="U88" s="114"/>
      <c r="V88" s="114"/>
      <c r="W88" s="114"/>
      <c r="X88" s="114"/>
      <c r="Y88" s="114"/>
      <c r="Z88" s="114"/>
      <c r="AA88" s="114"/>
      <c r="AB88" s="114"/>
      <c r="AC88" s="114"/>
      <c r="AD88" s="114"/>
      <c r="AE88" s="114"/>
      <c r="AF88" s="114"/>
      <c r="AG88" s="114"/>
      <c r="AH88" s="114"/>
      <c r="AI88" s="114"/>
      <c r="AJ88" s="114"/>
      <c r="AK88" s="114"/>
      <c r="AL88" s="114"/>
    </row>
    <row r="89" spans="2:38" ht="31.5" customHeight="1">
      <c r="B89" s="114"/>
      <c r="C89" s="114"/>
      <c r="D89" s="114"/>
      <c r="E89" s="114"/>
      <c r="F89" s="114"/>
      <c r="G89" s="114"/>
      <c r="H89" s="114"/>
      <c r="I89" s="114"/>
      <c r="J89" s="114"/>
      <c r="K89" s="114"/>
      <c r="L89" s="114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4"/>
      <c r="AA89" s="114"/>
      <c r="AB89" s="114"/>
      <c r="AC89" s="114"/>
      <c r="AD89" s="114"/>
      <c r="AE89" s="114"/>
      <c r="AF89" s="114"/>
      <c r="AG89" s="114"/>
      <c r="AH89" s="114"/>
      <c r="AI89" s="114"/>
      <c r="AJ89" s="114"/>
      <c r="AK89" s="114"/>
      <c r="AL89" s="114"/>
    </row>
    <row r="90" spans="2:38" ht="31.5" customHeight="1">
      <c r="B90" s="114"/>
      <c r="C90" s="114"/>
      <c r="D90" s="114"/>
      <c r="E90" s="114"/>
      <c r="F90" s="114"/>
      <c r="G90" s="114"/>
      <c r="H90" s="114"/>
      <c r="I90" s="114"/>
      <c r="J90" s="114"/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  <c r="AA90" s="114"/>
      <c r="AB90" s="114"/>
      <c r="AC90" s="114"/>
      <c r="AD90" s="114"/>
      <c r="AE90" s="114"/>
      <c r="AF90" s="114"/>
      <c r="AG90" s="114"/>
      <c r="AH90" s="114"/>
      <c r="AI90" s="114"/>
      <c r="AJ90" s="114"/>
      <c r="AK90" s="114"/>
      <c r="AL90" s="114"/>
    </row>
    <row r="91" spans="2:38" ht="31.5" customHeight="1">
      <c r="B91" s="114"/>
      <c r="C91" s="114"/>
      <c r="D91" s="114"/>
      <c r="E91" s="114"/>
      <c r="F91" s="114"/>
      <c r="G91" s="114"/>
      <c r="H91" s="114"/>
      <c r="I91" s="114"/>
      <c r="J91" s="114"/>
      <c r="K91" s="114"/>
      <c r="L91" s="114"/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4"/>
      <c r="AA91" s="114"/>
      <c r="AB91" s="114"/>
      <c r="AC91" s="114"/>
      <c r="AD91" s="114"/>
      <c r="AE91" s="114"/>
      <c r="AF91" s="114"/>
      <c r="AG91" s="114"/>
      <c r="AH91" s="114"/>
      <c r="AI91" s="114"/>
      <c r="AJ91" s="114"/>
      <c r="AK91" s="114"/>
      <c r="AL91" s="114"/>
    </row>
    <row r="92" spans="2:38" ht="31.5" customHeight="1">
      <c r="B92" s="114"/>
      <c r="C92" s="114"/>
      <c r="D92" s="114"/>
      <c r="E92" s="114"/>
      <c r="F92" s="114"/>
      <c r="G92" s="114"/>
      <c r="H92" s="114"/>
      <c r="I92" s="114"/>
      <c r="J92" s="114"/>
      <c r="K92" s="114"/>
      <c r="L92" s="114"/>
      <c r="M92" s="114"/>
      <c r="N92" s="114"/>
      <c r="O92" s="114"/>
      <c r="P92" s="114"/>
      <c r="Q92" s="114"/>
      <c r="R92" s="114"/>
      <c r="S92" s="114"/>
      <c r="T92" s="114"/>
      <c r="U92" s="114"/>
      <c r="V92" s="114"/>
      <c r="W92" s="114"/>
      <c r="X92" s="114"/>
      <c r="Y92" s="114"/>
      <c r="Z92" s="114"/>
      <c r="AA92" s="114"/>
      <c r="AB92" s="114"/>
      <c r="AC92" s="114"/>
      <c r="AD92" s="114"/>
      <c r="AE92" s="114"/>
      <c r="AF92" s="114"/>
      <c r="AG92" s="114"/>
      <c r="AH92" s="114"/>
      <c r="AI92" s="114"/>
      <c r="AJ92" s="114"/>
      <c r="AK92" s="114"/>
      <c r="AL92" s="114"/>
    </row>
    <row r="93" spans="2:38" ht="31.5" customHeight="1">
      <c r="B93" s="114"/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4"/>
      <c r="AA93" s="114"/>
      <c r="AB93" s="114"/>
      <c r="AC93" s="114"/>
      <c r="AD93" s="114"/>
      <c r="AE93" s="114"/>
      <c r="AF93" s="114"/>
      <c r="AG93" s="114"/>
      <c r="AH93" s="114"/>
      <c r="AI93" s="114"/>
      <c r="AJ93" s="114"/>
      <c r="AK93" s="114"/>
      <c r="AL93" s="114"/>
    </row>
    <row r="94" spans="2:38" ht="31.5" customHeight="1">
      <c r="B94" s="114"/>
      <c r="C94" s="114"/>
      <c r="D94" s="114"/>
      <c r="E94" s="114"/>
      <c r="F94" s="114"/>
      <c r="G94" s="114"/>
      <c r="H94" s="114"/>
      <c r="I94" s="114"/>
      <c r="J94" s="114"/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  <c r="AA94" s="114"/>
      <c r="AB94" s="114"/>
      <c r="AC94" s="114"/>
      <c r="AD94" s="114"/>
      <c r="AE94" s="114"/>
      <c r="AF94" s="114"/>
      <c r="AG94" s="114"/>
      <c r="AH94" s="114"/>
      <c r="AI94" s="114"/>
      <c r="AJ94" s="114"/>
      <c r="AK94" s="114"/>
      <c r="AL94" s="114"/>
    </row>
    <row r="95" spans="2:38" ht="31.5" customHeight="1">
      <c r="B95" s="114"/>
      <c r="C95" s="114"/>
      <c r="D95" s="114"/>
      <c r="E95" s="114"/>
      <c r="F95" s="114"/>
      <c r="G95" s="114"/>
      <c r="H95" s="114"/>
      <c r="I95" s="114"/>
      <c r="J95" s="114"/>
      <c r="K95" s="114"/>
      <c r="L95" s="114"/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4"/>
      <c r="AA95" s="114"/>
      <c r="AB95" s="114"/>
      <c r="AC95" s="114"/>
      <c r="AD95" s="114"/>
      <c r="AE95" s="114"/>
      <c r="AF95" s="114"/>
      <c r="AG95" s="114"/>
      <c r="AH95" s="114"/>
      <c r="AI95" s="114"/>
      <c r="AJ95" s="114"/>
      <c r="AK95" s="114"/>
      <c r="AL95" s="114"/>
    </row>
    <row r="96" spans="2:38" ht="31.5" customHeight="1">
      <c r="B96" s="114"/>
      <c r="C96" s="114"/>
      <c r="D96" s="114"/>
      <c r="E96" s="114"/>
      <c r="F96" s="114"/>
      <c r="G96" s="114"/>
      <c r="H96" s="114"/>
      <c r="I96" s="114"/>
      <c r="J96" s="114"/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/>
      <c r="V96" s="114"/>
      <c r="W96" s="114"/>
      <c r="X96" s="114"/>
      <c r="Y96" s="114"/>
      <c r="Z96" s="114"/>
      <c r="AA96" s="114"/>
      <c r="AB96" s="114"/>
      <c r="AC96" s="114"/>
      <c r="AD96" s="114"/>
      <c r="AE96" s="114"/>
      <c r="AF96" s="114"/>
      <c r="AG96" s="114"/>
      <c r="AH96" s="114"/>
      <c r="AI96" s="114"/>
      <c r="AJ96" s="114"/>
      <c r="AK96" s="114"/>
      <c r="AL96" s="114"/>
    </row>
    <row r="97" spans="2:38" ht="31.5" customHeight="1">
      <c r="B97" s="114"/>
      <c r="C97" s="114"/>
      <c r="D97" s="114"/>
      <c r="E97" s="114"/>
      <c r="F97" s="114"/>
      <c r="G97" s="114"/>
      <c r="H97" s="114"/>
      <c r="I97" s="114"/>
      <c r="J97" s="114"/>
      <c r="K97" s="114"/>
      <c r="L97" s="114"/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4"/>
      <c r="AA97" s="114"/>
      <c r="AB97" s="114"/>
      <c r="AC97" s="114"/>
      <c r="AD97" s="114"/>
      <c r="AE97" s="114"/>
      <c r="AF97" s="114"/>
      <c r="AG97" s="114"/>
      <c r="AH97" s="114"/>
      <c r="AI97" s="114"/>
      <c r="AJ97" s="114"/>
      <c r="AK97" s="114"/>
      <c r="AL97" s="114"/>
    </row>
    <row r="98" spans="2:38" ht="31.5" customHeight="1"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14"/>
      <c r="AJ98" s="114"/>
      <c r="AK98" s="114"/>
      <c r="AL98" s="114"/>
    </row>
    <row r="99" spans="2:38" ht="31.5" customHeight="1">
      <c r="B99" s="114"/>
      <c r="C99" s="114"/>
      <c r="D99" s="114"/>
      <c r="E99" s="114"/>
      <c r="F99" s="114"/>
      <c r="G99" s="114"/>
      <c r="H99" s="114"/>
      <c r="I99" s="114"/>
      <c r="J99" s="114"/>
      <c r="K99" s="114"/>
      <c r="L99" s="114"/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4"/>
      <c r="AA99" s="114"/>
      <c r="AB99" s="114"/>
      <c r="AC99" s="114"/>
      <c r="AD99" s="114"/>
      <c r="AE99" s="114"/>
      <c r="AF99" s="114"/>
      <c r="AG99" s="114"/>
      <c r="AH99" s="114"/>
      <c r="AI99" s="114"/>
      <c r="AJ99" s="114"/>
      <c r="AK99" s="114"/>
      <c r="AL99" s="114"/>
    </row>
    <row r="100" spans="2:38" ht="31.5" customHeight="1">
      <c r="B100" s="114"/>
      <c r="C100" s="114"/>
      <c r="D100" s="114"/>
      <c r="E100" s="114"/>
      <c r="F100" s="114"/>
      <c r="G100" s="114"/>
      <c r="H100" s="114"/>
      <c r="I100" s="114"/>
      <c r="J100" s="114"/>
      <c r="K100" s="114"/>
      <c r="L100" s="114"/>
      <c r="M100" s="114"/>
      <c r="N100" s="114"/>
      <c r="O100" s="114"/>
      <c r="P100" s="114"/>
      <c r="Q100" s="114"/>
      <c r="R100" s="114"/>
      <c r="S100" s="114"/>
      <c r="T100" s="114"/>
      <c r="U100" s="114"/>
      <c r="V100" s="114"/>
      <c r="W100" s="114"/>
      <c r="X100" s="114"/>
      <c r="Y100" s="114"/>
      <c r="Z100" s="114"/>
      <c r="AA100" s="114"/>
      <c r="AB100" s="114"/>
      <c r="AC100" s="114"/>
      <c r="AD100" s="114"/>
      <c r="AE100" s="114"/>
      <c r="AF100" s="114"/>
      <c r="AG100" s="114"/>
      <c r="AH100" s="114"/>
      <c r="AI100" s="114"/>
      <c r="AJ100" s="114"/>
      <c r="AK100" s="114"/>
      <c r="AL100" s="114"/>
    </row>
    <row r="101" spans="2:38" ht="31.5" customHeight="1">
      <c r="B101" s="114"/>
      <c r="C101" s="114"/>
      <c r="D101" s="114"/>
      <c r="E101" s="114"/>
      <c r="F101" s="114"/>
      <c r="G101" s="114"/>
      <c r="H101" s="114"/>
      <c r="I101" s="114"/>
      <c r="J101" s="114"/>
      <c r="K101" s="114"/>
      <c r="L101" s="114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4"/>
      <c r="AA101" s="114"/>
      <c r="AB101" s="114"/>
      <c r="AC101" s="114"/>
      <c r="AD101" s="114"/>
      <c r="AE101" s="114"/>
      <c r="AF101" s="114"/>
      <c r="AG101" s="114"/>
      <c r="AH101" s="114"/>
      <c r="AI101" s="114"/>
      <c r="AJ101" s="114"/>
      <c r="AK101" s="114"/>
      <c r="AL101" s="114"/>
    </row>
    <row r="102" spans="2:38" ht="31.5" customHeight="1">
      <c r="B102" s="114"/>
      <c r="C102" s="114"/>
      <c r="D102" s="114"/>
      <c r="E102" s="114"/>
      <c r="F102" s="114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  <c r="AA102" s="114"/>
      <c r="AB102" s="114"/>
      <c r="AC102" s="114"/>
      <c r="AD102" s="114"/>
      <c r="AE102" s="114"/>
      <c r="AF102" s="114"/>
      <c r="AG102" s="114"/>
      <c r="AH102" s="114"/>
      <c r="AI102" s="114"/>
      <c r="AJ102" s="114"/>
      <c r="AK102" s="114"/>
      <c r="AL102" s="114"/>
    </row>
    <row r="103" spans="2:38" ht="31.5" customHeight="1">
      <c r="B103" s="114"/>
      <c r="C103" s="114"/>
      <c r="D103" s="114"/>
      <c r="E103" s="114"/>
      <c r="F103" s="114"/>
      <c r="G103" s="114"/>
      <c r="H103" s="114"/>
      <c r="I103" s="114"/>
      <c r="J103" s="114"/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4"/>
      <c r="AA103" s="114"/>
      <c r="AB103" s="114"/>
      <c r="AC103" s="114"/>
      <c r="AD103" s="114"/>
      <c r="AE103" s="114"/>
      <c r="AF103" s="114"/>
      <c r="AG103" s="114"/>
      <c r="AH103" s="114"/>
      <c r="AI103" s="114"/>
      <c r="AJ103" s="114"/>
      <c r="AK103" s="114"/>
      <c r="AL103" s="114"/>
    </row>
    <row r="104" spans="2:38" ht="31.5" customHeight="1">
      <c r="B104" s="114"/>
      <c r="C104" s="114"/>
      <c r="D104" s="114"/>
      <c r="E104" s="114"/>
      <c r="F104" s="114"/>
      <c r="G104" s="114"/>
      <c r="H104" s="114"/>
      <c r="I104" s="114"/>
      <c r="J104" s="114"/>
      <c r="K104" s="114"/>
      <c r="L104" s="114"/>
      <c r="M104" s="114"/>
      <c r="N104" s="114"/>
      <c r="O104" s="114"/>
      <c r="P104" s="114"/>
      <c r="Q104" s="114"/>
      <c r="R104" s="114"/>
      <c r="S104" s="114"/>
      <c r="T104" s="114"/>
      <c r="U104" s="114"/>
      <c r="V104" s="114"/>
      <c r="W104" s="114"/>
      <c r="X104" s="114"/>
      <c r="Y104" s="114"/>
      <c r="Z104" s="114"/>
      <c r="AA104" s="114"/>
      <c r="AB104" s="114"/>
      <c r="AC104" s="114"/>
      <c r="AD104" s="114"/>
      <c r="AE104" s="114"/>
      <c r="AF104" s="114"/>
      <c r="AG104" s="114"/>
      <c r="AH104" s="114"/>
      <c r="AI104" s="114"/>
      <c r="AJ104" s="114"/>
      <c r="AK104" s="114"/>
      <c r="AL104" s="114"/>
    </row>
    <row r="105" spans="2:38" ht="31.5" customHeight="1">
      <c r="B105" s="114"/>
      <c r="C105" s="114"/>
      <c r="D105" s="114"/>
      <c r="E105" s="114"/>
      <c r="F105" s="114"/>
      <c r="G105" s="114"/>
      <c r="H105" s="114"/>
      <c r="I105" s="114"/>
      <c r="J105" s="114"/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4"/>
      <c r="AA105" s="114"/>
      <c r="AB105" s="114"/>
      <c r="AC105" s="114"/>
      <c r="AD105" s="114"/>
      <c r="AE105" s="114"/>
      <c r="AF105" s="114"/>
      <c r="AG105" s="114"/>
      <c r="AH105" s="114"/>
      <c r="AI105" s="114"/>
      <c r="AJ105" s="114"/>
      <c r="AK105" s="114"/>
      <c r="AL105" s="114"/>
    </row>
    <row r="106" spans="2:38" ht="31.5" customHeight="1">
      <c r="B106" s="114"/>
      <c r="C106" s="114"/>
      <c r="D106" s="114"/>
      <c r="E106" s="114"/>
      <c r="F106" s="114"/>
      <c r="G106" s="114"/>
      <c r="H106" s="114"/>
      <c r="I106" s="114"/>
      <c r="J106" s="114"/>
      <c r="K106" s="114"/>
      <c r="L106" s="114"/>
      <c r="M106" s="114"/>
      <c r="N106" s="114"/>
      <c r="O106" s="114"/>
      <c r="P106" s="114"/>
      <c r="Q106" s="114"/>
      <c r="R106" s="114"/>
      <c r="S106" s="114"/>
      <c r="T106" s="114"/>
      <c r="U106" s="114"/>
      <c r="V106" s="114"/>
      <c r="W106" s="114"/>
      <c r="X106" s="114"/>
      <c r="Y106" s="114"/>
      <c r="Z106" s="114"/>
      <c r="AA106" s="114"/>
      <c r="AB106" s="114"/>
      <c r="AC106" s="114"/>
      <c r="AD106" s="114"/>
      <c r="AE106" s="114"/>
      <c r="AF106" s="114"/>
      <c r="AG106" s="114"/>
      <c r="AH106" s="114"/>
      <c r="AI106" s="114"/>
      <c r="AJ106" s="114"/>
      <c r="AK106" s="114"/>
      <c r="AL106" s="114"/>
    </row>
    <row r="107" spans="2:38" ht="31.5" customHeight="1">
      <c r="B107" s="114"/>
      <c r="C107" s="114"/>
      <c r="D107" s="114"/>
      <c r="E107" s="114"/>
      <c r="F107" s="114"/>
      <c r="G107" s="114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4"/>
      <c r="AA107" s="114"/>
      <c r="AB107" s="114"/>
      <c r="AC107" s="114"/>
      <c r="AD107" s="114"/>
      <c r="AE107" s="114"/>
      <c r="AF107" s="114"/>
      <c r="AG107" s="114"/>
      <c r="AH107" s="114"/>
      <c r="AI107" s="114"/>
      <c r="AJ107" s="114"/>
      <c r="AK107" s="114"/>
      <c r="AL107" s="114"/>
    </row>
    <row r="108" spans="2:38" ht="31.5" customHeight="1">
      <c r="B108" s="114"/>
      <c r="C108" s="114"/>
      <c r="D108" s="114"/>
      <c r="E108" s="114"/>
      <c r="F108" s="114"/>
      <c r="G108" s="114"/>
      <c r="H108" s="114"/>
      <c r="I108" s="114"/>
      <c r="J108" s="114"/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/>
      <c r="V108" s="114"/>
      <c r="W108" s="114"/>
      <c r="X108" s="114"/>
      <c r="Y108" s="114"/>
      <c r="Z108" s="114"/>
      <c r="AA108" s="114"/>
      <c r="AB108" s="114"/>
      <c r="AC108" s="114"/>
      <c r="AD108" s="114"/>
      <c r="AE108" s="114"/>
      <c r="AF108" s="114"/>
      <c r="AG108" s="114"/>
      <c r="AH108" s="114"/>
      <c r="AI108" s="114"/>
      <c r="AJ108" s="114"/>
      <c r="AK108" s="114"/>
      <c r="AL108" s="114"/>
    </row>
    <row r="109" spans="2:38" ht="31.5" customHeight="1">
      <c r="B109" s="114"/>
      <c r="C109" s="114"/>
      <c r="D109" s="114"/>
      <c r="E109" s="114"/>
      <c r="F109" s="114"/>
      <c r="G109" s="114"/>
      <c r="H109" s="114"/>
      <c r="I109" s="114"/>
      <c r="J109" s="114"/>
      <c r="K109" s="114"/>
      <c r="L109" s="114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4"/>
      <c r="AA109" s="114"/>
      <c r="AB109" s="114"/>
      <c r="AC109" s="114"/>
      <c r="AD109" s="114"/>
      <c r="AE109" s="114"/>
      <c r="AF109" s="114"/>
      <c r="AG109" s="114"/>
      <c r="AH109" s="114"/>
      <c r="AI109" s="114"/>
      <c r="AJ109" s="114"/>
      <c r="AK109" s="114"/>
      <c r="AL109" s="114"/>
    </row>
    <row r="110" spans="2:38" ht="31.5" customHeight="1">
      <c r="B110" s="114"/>
      <c r="C110" s="114"/>
      <c r="D110" s="114"/>
      <c r="E110" s="114"/>
      <c r="F110" s="114"/>
      <c r="G110" s="114"/>
      <c r="H110" s="114"/>
      <c r="I110" s="114"/>
      <c r="J110" s="114"/>
      <c r="K110" s="114"/>
      <c r="L110" s="114"/>
      <c r="M110" s="114"/>
      <c r="N110" s="114"/>
      <c r="O110" s="114"/>
      <c r="P110" s="114"/>
      <c r="Q110" s="114"/>
      <c r="R110" s="114"/>
      <c r="S110" s="114"/>
      <c r="T110" s="114"/>
      <c r="U110" s="114"/>
      <c r="V110" s="114"/>
      <c r="W110" s="114"/>
      <c r="X110" s="114"/>
      <c r="Y110" s="114"/>
      <c r="Z110" s="114"/>
      <c r="AA110" s="114"/>
      <c r="AB110" s="114"/>
      <c r="AC110" s="114"/>
      <c r="AD110" s="114"/>
      <c r="AE110" s="114"/>
      <c r="AF110" s="114"/>
      <c r="AG110" s="114"/>
      <c r="AH110" s="114"/>
      <c r="AI110" s="114"/>
      <c r="AJ110" s="114"/>
      <c r="AK110" s="114"/>
      <c r="AL110" s="114"/>
    </row>
    <row r="111" spans="2:38" ht="31.5" customHeight="1">
      <c r="B111" s="114"/>
      <c r="C111" s="114"/>
      <c r="D111" s="114"/>
      <c r="E111" s="114"/>
      <c r="F111" s="114"/>
      <c r="G111" s="114"/>
      <c r="H111" s="114"/>
      <c r="I111" s="114"/>
      <c r="J111" s="114"/>
      <c r="K111" s="114"/>
      <c r="L111" s="114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4"/>
      <c r="AA111" s="114"/>
      <c r="AB111" s="114"/>
      <c r="AC111" s="114"/>
      <c r="AD111" s="114"/>
      <c r="AE111" s="114"/>
      <c r="AF111" s="114"/>
      <c r="AG111" s="114"/>
      <c r="AH111" s="114"/>
      <c r="AI111" s="114"/>
      <c r="AJ111" s="114"/>
      <c r="AK111" s="114"/>
      <c r="AL111" s="114"/>
    </row>
    <row r="112" spans="2:38" ht="31.5" customHeight="1">
      <c r="B112" s="114"/>
      <c r="C112" s="114"/>
      <c r="D112" s="114"/>
      <c r="E112" s="114"/>
      <c r="F112" s="114"/>
      <c r="G112" s="114"/>
      <c r="H112" s="114"/>
      <c r="I112" s="114"/>
      <c r="J112" s="114"/>
      <c r="K112" s="114"/>
      <c r="L112" s="114"/>
      <c r="M112" s="114"/>
      <c r="N112" s="114"/>
      <c r="O112" s="114"/>
      <c r="P112" s="114"/>
      <c r="Q112" s="114"/>
      <c r="R112" s="114"/>
      <c r="S112" s="114"/>
      <c r="T112" s="114"/>
      <c r="U112" s="114"/>
      <c r="V112" s="114"/>
      <c r="W112" s="114"/>
      <c r="X112" s="114"/>
      <c r="Y112" s="114"/>
      <c r="Z112" s="114"/>
      <c r="AA112" s="114"/>
      <c r="AB112" s="114"/>
      <c r="AC112" s="114"/>
      <c r="AD112" s="114"/>
      <c r="AE112" s="114"/>
      <c r="AF112" s="114"/>
      <c r="AG112" s="114"/>
      <c r="AH112" s="114"/>
      <c r="AI112" s="114"/>
      <c r="AJ112" s="114"/>
      <c r="AK112" s="114"/>
      <c r="AL112" s="114"/>
    </row>
    <row r="113" spans="2:38" ht="31.5" customHeight="1">
      <c r="B113" s="114"/>
      <c r="C113" s="114"/>
      <c r="D113" s="114"/>
      <c r="E113" s="114"/>
      <c r="F113" s="114"/>
      <c r="G113" s="114"/>
      <c r="H113" s="114"/>
      <c r="I113" s="114"/>
      <c r="J113" s="114"/>
      <c r="K113" s="114"/>
      <c r="L113" s="114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4"/>
      <c r="AA113" s="114"/>
      <c r="AB113" s="114"/>
      <c r="AC113" s="114"/>
      <c r="AD113" s="114"/>
      <c r="AE113" s="114"/>
      <c r="AF113" s="114"/>
      <c r="AG113" s="114"/>
      <c r="AH113" s="114"/>
      <c r="AI113" s="114"/>
      <c r="AJ113" s="114"/>
      <c r="AK113" s="114"/>
      <c r="AL113" s="114"/>
    </row>
    <row r="114" spans="2:38" ht="31.5" customHeight="1">
      <c r="B114" s="114"/>
      <c r="C114" s="114"/>
      <c r="D114" s="114"/>
      <c r="E114" s="114"/>
      <c r="F114" s="114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  <c r="Q114" s="114"/>
      <c r="R114" s="114"/>
      <c r="S114" s="114"/>
      <c r="T114" s="114"/>
      <c r="U114" s="114"/>
      <c r="V114" s="114"/>
      <c r="W114" s="114"/>
      <c r="X114" s="114"/>
      <c r="Y114" s="114"/>
      <c r="Z114" s="114"/>
      <c r="AA114" s="114"/>
      <c r="AB114" s="114"/>
      <c r="AC114" s="114"/>
      <c r="AD114" s="114"/>
      <c r="AE114" s="114"/>
      <c r="AF114" s="114"/>
      <c r="AG114" s="114"/>
      <c r="AH114" s="114"/>
      <c r="AI114" s="114"/>
      <c r="AJ114" s="114"/>
      <c r="AK114" s="114"/>
      <c r="AL114" s="114"/>
    </row>
    <row r="115" spans="2:38" ht="31.5" customHeight="1">
      <c r="B115" s="114"/>
      <c r="C115" s="114"/>
      <c r="D115" s="114"/>
      <c r="E115" s="114"/>
      <c r="F115" s="114"/>
      <c r="G115" s="114"/>
      <c r="H115" s="114"/>
      <c r="I115" s="114"/>
      <c r="J115" s="114"/>
      <c r="K115" s="114"/>
      <c r="L115" s="114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4"/>
      <c r="AA115" s="114"/>
      <c r="AB115" s="114"/>
      <c r="AC115" s="114"/>
      <c r="AD115" s="114"/>
      <c r="AE115" s="114"/>
      <c r="AF115" s="114"/>
      <c r="AG115" s="114"/>
      <c r="AH115" s="114"/>
      <c r="AI115" s="114"/>
      <c r="AJ115" s="114"/>
      <c r="AK115" s="114"/>
      <c r="AL115" s="114"/>
    </row>
    <row r="116" spans="2:38" ht="31.5" customHeight="1">
      <c r="B116" s="114"/>
      <c r="C116" s="114"/>
      <c r="D116" s="114"/>
      <c r="E116" s="114"/>
      <c r="F116" s="114"/>
      <c r="G116" s="114"/>
      <c r="H116" s="114"/>
      <c r="I116" s="114"/>
      <c r="J116" s="114"/>
      <c r="K116" s="114"/>
      <c r="L116" s="114"/>
      <c r="M116" s="114"/>
      <c r="N116" s="114"/>
      <c r="O116" s="114"/>
      <c r="P116" s="114"/>
      <c r="Q116" s="114"/>
      <c r="R116" s="114"/>
      <c r="S116" s="114"/>
      <c r="T116" s="114"/>
      <c r="U116" s="114"/>
      <c r="V116" s="114"/>
      <c r="W116" s="114"/>
      <c r="X116" s="114"/>
      <c r="Y116" s="114"/>
      <c r="Z116" s="114"/>
      <c r="AA116" s="114"/>
      <c r="AB116" s="114"/>
      <c r="AC116" s="114"/>
      <c r="AD116" s="114"/>
      <c r="AE116" s="114"/>
      <c r="AF116" s="114"/>
      <c r="AG116" s="114"/>
      <c r="AH116" s="114"/>
      <c r="AI116" s="114"/>
      <c r="AJ116" s="114"/>
      <c r="AK116" s="114"/>
      <c r="AL116" s="114"/>
    </row>
    <row r="117" spans="2:38" ht="31.5" customHeight="1">
      <c r="B117" s="114"/>
      <c r="C117" s="114"/>
      <c r="D117" s="114"/>
      <c r="E117" s="114"/>
      <c r="F117" s="114"/>
      <c r="G117" s="114"/>
      <c r="H117" s="114"/>
      <c r="I117" s="114"/>
      <c r="J117" s="114"/>
      <c r="K117" s="114"/>
      <c r="L117" s="114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4"/>
      <c r="AA117" s="114"/>
      <c r="AB117" s="114"/>
      <c r="AC117" s="114"/>
      <c r="AD117" s="114"/>
      <c r="AE117" s="114"/>
      <c r="AF117" s="114"/>
      <c r="AG117" s="114"/>
      <c r="AH117" s="114"/>
      <c r="AI117" s="114"/>
      <c r="AJ117" s="114"/>
      <c r="AK117" s="114"/>
      <c r="AL117" s="114"/>
    </row>
    <row r="118" spans="2:38" ht="31.5" customHeight="1">
      <c r="B118" s="114"/>
      <c r="C118" s="114"/>
      <c r="D118" s="114"/>
      <c r="E118" s="114"/>
      <c r="F118" s="114"/>
      <c r="G118" s="114"/>
      <c r="H118" s="114"/>
      <c r="I118" s="114"/>
      <c r="J118" s="114"/>
      <c r="K118" s="114"/>
      <c r="L118" s="114"/>
      <c r="M118" s="114"/>
      <c r="N118" s="114"/>
      <c r="O118" s="114"/>
      <c r="P118" s="114"/>
      <c r="Q118" s="114"/>
      <c r="R118" s="114"/>
      <c r="S118" s="114"/>
      <c r="T118" s="114"/>
      <c r="U118" s="114"/>
      <c r="V118" s="114"/>
      <c r="W118" s="114"/>
      <c r="X118" s="114"/>
      <c r="Y118" s="114"/>
      <c r="Z118" s="114"/>
      <c r="AA118" s="114"/>
      <c r="AB118" s="114"/>
      <c r="AC118" s="114"/>
      <c r="AD118" s="114"/>
      <c r="AE118" s="114"/>
      <c r="AF118" s="114"/>
      <c r="AG118" s="114"/>
      <c r="AH118" s="114"/>
      <c r="AI118" s="114"/>
      <c r="AJ118" s="114"/>
      <c r="AK118" s="114"/>
      <c r="AL118" s="114"/>
    </row>
    <row r="119" spans="2:38" ht="31.5" customHeight="1">
      <c r="B119" s="114"/>
      <c r="C119" s="114"/>
      <c r="D119" s="114"/>
      <c r="E119" s="114"/>
      <c r="F119" s="114"/>
      <c r="G119" s="114"/>
      <c r="H119" s="114"/>
      <c r="I119" s="114"/>
      <c r="J119" s="114"/>
      <c r="K119" s="114"/>
      <c r="L119" s="114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4"/>
      <c r="AA119" s="114"/>
      <c r="AB119" s="114"/>
      <c r="AC119" s="114"/>
      <c r="AD119" s="114"/>
      <c r="AE119" s="114"/>
      <c r="AF119" s="114"/>
      <c r="AG119" s="114"/>
      <c r="AH119" s="114"/>
      <c r="AI119" s="114"/>
      <c r="AJ119" s="114"/>
      <c r="AK119" s="114"/>
      <c r="AL119" s="114"/>
    </row>
    <row r="120" spans="2:38" ht="15.75" customHeight="1">
      <c r="B120" s="114"/>
      <c r="C120" s="114"/>
      <c r="D120" s="114"/>
      <c r="E120" s="114"/>
      <c r="F120" s="114"/>
      <c r="G120" s="114"/>
      <c r="H120" s="114"/>
      <c r="I120" s="114"/>
      <c r="J120" s="114"/>
      <c r="K120" s="114"/>
      <c r="L120" s="114"/>
      <c r="M120" s="114"/>
      <c r="N120" s="114"/>
      <c r="O120" s="114"/>
      <c r="P120" s="114"/>
      <c r="Q120" s="114"/>
      <c r="R120" s="114"/>
      <c r="S120" s="114"/>
      <c r="T120" s="114"/>
      <c r="U120" s="114"/>
      <c r="V120" s="114"/>
      <c r="W120" s="114"/>
      <c r="X120" s="114"/>
      <c r="Y120" s="114"/>
      <c r="Z120" s="114"/>
      <c r="AA120" s="114"/>
      <c r="AB120" s="114"/>
      <c r="AC120" s="114"/>
      <c r="AD120" s="114"/>
      <c r="AE120" s="114"/>
      <c r="AF120" s="114"/>
      <c r="AG120" s="114"/>
      <c r="AH120" s="114"/>
      <c r="AI120" s="114"/>
      <c r="AJ120" s="114"/>
      <c r="AK120" s="114"/>
      <c r="AL120" s="114"/>
    </row>
    <row r="121" spans="2:38" ht="15.75" customHeight="1">
      <c r="B121" s="114"/>
      <c r="C121" s="114"/>
      <c r="D121" s="114"/>
      <c r="E121" s="114"/>
      <c r="F121" s="114"/>
      <c r="G121" s="114"/>
      <c r="H121" s="114"/>
      <c r="I121" s="114"/>
      <c r="J121" s="114"/>
      <c r="K121" s="114"/>
      <c r="L121" s="114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4"/>
      <c r="AA121" s="114"/>
      <c r="AB121" s="114"/>
      <c r="AC121" s="114"/>
      <c r="AD121" s="114"/>
      <c r="AE121" s="114"/>
      <c r="AF121" s="114"/>
      <c r="AG121" s="114"/>
      <c r="AH121" s="114"/>
      <c r="AI121" s="114"/>
      <c r="AJ121" s="114"/>
      <c r="AK121" s="114"/>
      <c r="AL121" s="114"/>
    </row>
    <row r="122" spans="2:38" ht="15.75" customHeight="1">
      <c r="B122" s="114"/>
      <c r="C122" s="114"/>
      <c r="D122" s="114"/>
      <c r="E122" s="114"/>
      <c r="F122" s="114"/>
      <c r="G122" s="114"/>
      <c r="H122" s="114"/>
      <c r="I122" s="114"/>
      <c r="J122" s="114"/>
      <c r="K122" s="114"/>
      <c r="L122" s="114"/>
      <c r="M122" s="114"/>
      <c r="N122" s="114"/>
      <c r="O122" s="114"/>
      <c r="P122" s="114"/>
      <c r="Q122" s="114"/>
      <c r="R122" s="114"/>
      <c r="S122" s="114"/>
      <c r="T122" s="114"/>
      <c r="U122" s="114"/>
      <c r="V122" s="114"/>
      <c r="W122" s="114"/>
      <c r="X122" s="114"/>
      <c r="Y122" s="114"/>
      <c r="Z122" s="114"/>
      <c r="AA122" s="114"/>
      <c r="AB122" s="114"/>
      <c r="AC122" s="114"/>
      <c r="AD122" s="114"/>
      <c r="AE122" s="114"/>
      <c r="AF122" s="114"/>
      <c r="AG122" s="114"/>
      <c r="AH122" s="114"/>
      <c r="AI122" s="114"/>
      <c r="AJ122" s="114"/>
      <c r="AK122" s="114"/>
      <c r="AL122" s="114"/>
    </row>
    <row r="123" spans="2:38" ht="15.75" customHeight="1">
      <c r="B123" s="114"/>
      <c r="C123" s="114"/>
      <c r="D123" s="114"/>
      <c r="E123" s="114"/>
      <c r="F123" s="114"/>
      <c r="G123" s="114"/>
      <c r="H123" s="114"/>
      <c r="I123" s="114"/>
      <c r="J123" s="114"/>
      <c r="K123" s="114"/>
      <c r="L123" s="114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4"/>
      <c r="AA123" s="114"/>
      <c r="AB123" s="114"/>
      <c r="AC123" s="114"/>
      <c r="AD123" s="114"/>
      <c r="AE123" s="114"/>
      <c r="AF123" s="114"/>
      <c r="AG123" s="114"/>
      <c r="AH123" s="114"/>
      <c r="AI123" s="114"/>
      <c r="AJ123" s="114"/>
      <c r="AK123" s="114"/>
      <c r="AL123" s="114"/>
    </row>
    <row r="124" spans="2:38" ht="15.75" customHeight="1">
      <c r="B124" s="114"/>
      <c r="C124" s="114"/>
      <c r="D124" s="114"/>
      <c r="E124" s="114"/>
      <c r="F124" s="114"/>
      <c r="G124" s="114"/>
      <c r="H124" s="114"/>
      <c r="I124" s="114"/>
      <c r="J124" s="114"/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  <c r="AA124" s="114"/>
      <c r="AB124" s="114"/>
      <c r="AC124" s="114"/>
      <c r="AD124" s="114"/>
      <c r="AE124" s="114"/>
      <c r="AF124" s="114"/>
      <c r="AG124" s="114"/>
      <c r="AH124" s="114"/>
      <c r="AI124" s="114"/>
      <c r="AJ124" s="114"/>
      <c r="AK124" s="114"/>
      <c r="AL124" s="114"/>
    </row>
    <row r="125" spans="2:38" ht="15.75" customHeight="1"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4"/>
      <c r="AH125" s="114"/>
      <c r="AI125" s="114"/>
      <c r="AJ125" s="114"/>
      <c r="AK125" s="114"/>
      <c r="AL125" s="114"/>
    </row>
    <row r="126" spans="2:38" ht="15.75" customHeight="1">
      <c r="B126" s="114"/>
      <c r="C126" s="114"/>
      <c r="D126" s="114"/>
      <c r="E126" s="114"/>
      <c r="F126" s="114"/>
      <c r="G126" s="114"/>
      <c r="H126" s="114"/>
      <c r="I126" s="114"/>
      <c r="J126" s="114"/>
      <c r="K126" s="114"/>
      <c r="L126" s="114"/>
      <c r="M126" s="114"/>
      <c r="N126" s="114"/>
      <c r="O126" s="114"/>
      <c r="P126" s="114"/>
      <c r="Q126" s="114"/>
      <c r="R126" s="114"/>
      <c r="S126" s="114"/>
      <c r="T126" s="114"/>
      <c r="U126" s="114"/>
      <c r="V126" s="114"/>
      <c r="W126" s="114"/>
      <c r="X126" s="114"/>
      <c r="Y126" s="114"/>
      <c r="Z126" s="114"/>
      <c r="AA126" s="114"/>
      <c r="AB126" s="114"/>
      <c r="AC126" s="114"/>
      <c r="AD126" s="114"/>
      <c r="AE126" s="114"/>
      <c r="AF126" s="114"/>
      <c r="AG126" s="114"/>
      <c r="AH126" s="114"/>
      <c r="AI126" s="114"/>
      <c r="AJ126" s="114"/>
      <c r="AK126" s="114"/>
      <c r="AL126" s="114"/>
    </row>
    <row r="127" spans="2:38" ht="15.75" customHeight="1">
      <c r="B127" s="114"/>
      <c r="C127" s="114"/>
      <c r="D127" s="114"/>
      <c r="E127" s="114"/>
      <c r="F127" s="114"/>
      <c r="G127" s="114"/>
      <c r="H127" s="114"/>
      <c r="I127" s="114"/>
      <c r="J127" s="114"/>
      <c r="K127" s="114"/>
      <c r="L127" s="114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4"/>
      <c r="AA127" s="114"/>
      <c r="AB127" s="114"/>
      <c r="AC127" s="114"/>
      <c r="AD127" s="114"/>
      <c r="AE127" s="114"/>
      <c r="AF127" s="114"/>
      <c r="AG127" s="114"/>
      <c r="AH127" s="114"/>
      <c r="AI127" s="114"/>
      <c r="AJ127" s="114"/>
      <c r="AK127" s="114"/>
      <c r="AL127" s="114"/>
    </row>
    <row r="128" spans="2:38" ht="15.75" customHeight="1">
      <c r="B128" s="114"/>
      <c r="C128" s="114"/>
      <c r="D128" s="114"/>
      <c r="E128" s="114"/>
      <c r="F128" s="114"/>
      <c r="G128" s="114"/>
      <c r="H128" s="114"/>
      <c r="I128" s="114"/>
      <c r="J128" s="114"/>
      <c r="K128" s="114"/>
      <c r="L128" s="114"/>
      <c r="M128" s="114"/>
      <c r="N128" s="114"/>
      <c r="O128" s="114"/>
      <c r="P128" s="114"/>
      <c r="Q128" s="114"/>
      <c r="R128" s="114"/>
      <c r="S128" s="114"/>
      <c r="T128" s="114"/>
      <c r="U128" s="114"/>
      <c r="V128" s="114"/>
      <c r="W128" s="114"/>
      <c r="X128" s="114"/>
      <c r="Y128" s="114"/>
      <c r="Z128" s="114"/>
      <c r="AA128" s="114"/>
      <c r="AB128" s="114"/>
      <c r="AC128" s="114"/>
      <c r="AD128" s="114"/>
      <c r="AE128" s="114"/>
      <c r="AF128" s="114"/>
      <c r="AG128" s="114"/>
      <c r="AH128" s="114"/>
      <c r="AI128" s="114"/>
      <c r="AJ128" s="114"/>
      <c r="AK128" s="114"/>
      <c r="AL128" s="114"/>
    </row>
    <row r="129" spans="2:38" ht="15.75" customHeight="1">
      <c r="B129" s="114"/>
      <c r="C129" s="114"/>
      <c r="D129" s="114"/>
      <c r="E129" s="114"/>
      <c r="F129" s="114"/>
      <c r="G129" s="114"/>
      <c r="H129" s="114"/>
      <c r="I129" s="114"/>
      <c r="J129" s="114"/>
      <c r="K129" s="114"/>
      <c r="L129" s="114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4"/>
      <c r="AA129" s="114"/>
      <c r="AB129" s="114"/>
      <c r="AC129" s="114"/>
      <c r="AD129" s="114"/>
      <c r="AE129" s="114"/>
      <c r="AF129" s="114"/>
      <c r="AG129" s="114"/>
      <c r="AH129" s="114"/>
      <c r="AI129" s="114"/>
      <c r="AJ129" s="114"/>
      <c r="AK129" s="114"/>
      <c r="AL129" s="114"/>
    </row>
    <row r="130" spans="2:38" ht="15.75" customHeight="1">
      <c r="B130" s="114"/>
      <c r="C130" s="114"/>
      <c r="D130" s="114"/>
      <c r="E130" s="114"/>
      <c r="F130" s="114"/>
      <c r="G130" s="114"/>
      <c r="H130" s="114"/>
      <c r="I130" s="114"/>
      <c r="J130" s="114"/>
      <c r="K130" s="114"/>
      <c r="L130" s="114"/>
      <c r="M130" s="114"/>
      <c r="N130" s="114"/>
      <c r="O130" s="114"/>
      <c r="P130" s="114"/>
      <c r="Q130" s="114"/>
      <c r="R130" s="114"/>
      <c r="S130" s="114"/>
      <c r="T130" s="114"/>
      <c r="U130" s="114"/>
      <c r="V130" s="114"/>
      <c r="W130" s="114"/>
      <c r="X130" s="114"/>
      <c r="Y130" s="114"/>
      <c r="Z130" s="114"/>
      <c r="AA130" s="114"/>
      <c r="AB130" s="114"/>
      <c r="AC130" s="114"/>
      <c r="AD130" s="114"/>
      <c r="AE130" s="114"/>
      <c r="AF130" s="114"/>
      <c r="AG130" s="114"/>
      <c r="AH130" s="114"/>
      <c r="AI130" s="114"/>
      <c r="AJ130" s="114"/>
      <c r="AK130" s="114"/>
      <c r="AL130" s="114"/>
    </row>
    <row r="131" spans="2:38" ht="15.75" customHeight="1">
      <c r="B131" s="114"/>
      <c r="C131" s="114"/>
      <c r="D131" s="114"/>
      <c r="E131" s="114"/>
      <c r="F131" s="114"/>
      <c r="G131" s="114"/>
      <c r="H131" s="114"/>
      <c r="I131" s="114"/>
      <c r="J131" s="114"/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4"/>
      <c r="AA131" s="114"/>
      <c r="AB131" s="114"/>
      <c r="AC131" s="114"/>
      <c r="AD131" s="114"/>
      <c r="AE131" s="114"/>
      <c r="AF131" s="114"/>
      <c r="AG131" s="114"/>
      <c r="AH131" s="114"/>
      <c r="AI131" s="114"/>
      <c r="AJ131" s="114"/>
      <c r="AK131" s="114"/>
      <c r="AL131" s="114"/>
    </row>
    <row r="132" spans="2:38" ht="15.75" customHeight="1">
      <c r="B132" s="114"/>
      <c r="C132" s="114"/>
      <c r="D132" s="114"/>
      <c r="E132" s="114"/>
      <c r="F132" s="114"/>
      <c r="G132" s="114"/>
      <c r="H132" s="114"/>
      <c r="I132" s="114"/>
      <c r="J132" s="114"/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  <c r="AA132" s="114"/>
      <c r="AB132" s="114"/>
      <c r="AC132" s="114"/>
      <c r="AD132" s="114"/>
      <c r="AE132" s="114"/>
      <c r="AF132" s="114"/>
      <c r="AG132" s="114"/>
      <c r="AH132" s="114"/>
      <c r="AI132" s="114"/>
      <c r="AJ132" s="114"/>
      <c r="AK132" s="114"/>
      <c r="AL132" s="114"/>
    </row>
    <row r="133" spans="2:38" ht="15.75" customHeight="1">
      <c r="B133" s="114"/>
      <c r="C133" s="114"/>
      <c r="D133" s="114"/>
      <c r="E133" s="114"/>
      <c r="F133" s="114"/>
      <c r="G133" s="114"/>
      <c r="H133" s="114"/>
      <c r="I133" s="114"/>
      <c r="J133" s="114"/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  <c r="AA133" s="114"/>
      <c r="AB133" s="114"/>
      <c r="AC133" s="114"/>
      <c r="AD133" s="114"/>
      <c r="AE133" s="114"/>
      <c r="AF133" s="114"/>
      <c r="AG133" s="114"/>
      <c r="AH133" s="114"/>
      <c r="AI133" s="114"/>
      <c r="AJ133" s="114"/>
      <c r="AK133" s="114"/>
      <c r="AL133" s="114"/>
    </row>
    <row r="134" spans="2:38" ht="15.75" customHeight="1">
      <c r="B134" s="114"/>
      <c r="C134" s="114"/>
      <c r="D134" s="114"/>
      <c r="E134" s="114"/>
      <c r="F134" s="114"/>
      <c r="G134" s="114"/>
      <c r="H134" s="114"/>
      <c r="I134" s="114"/>
      <c r="J134" s="114"/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  <c r="AA134" s="114"/>
      <c r="AB134" s="114"/>
      <c r="AC134" s="114"/>
      <c r="AD134" s="114"/>
      <c r="AE134" s="114"/>
      <c r="AF134" s="114"/>
      <c r="AG134" s="114"/>
      <c r="AH134" s="114"/>
      <c r="AI134" s="114"/>
      <c r="AJ134" s="114"/>
      <c r="AK134" s="114"/>
      <c r="AL134" s="114"/>
    </row>
    <row r="135" spans="2:38" ht="15.75" customHeight="1">
      <c r="B135" s="114"/>
      <c r="C135" s="114"/>
      <c r="D135" s="114"/>
      <c r="E135" s="114"/>
      <c r="F135" s="114"/>
      <c r="G135" s="114"/>
      <c r="H135" s="114"/>
      <c r="I135" s="114"/>
      <c r="J135" s="114"/>
      <c r="K135" s="114"/>
      <c r="L135" s="114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4"/>
      <c r="AA135" s="114"/>
      <c r="AB135" s="114"/>
      <c r="AC135" s="114"/>
      <c r="AD135" s="114"/>
      <c r="AE135" s="114"/>
      <c r="AF135" s="114"/>
      <c r="AG135" s="114"/>
      <c r="AH135" s="114"/>
      <c r="AI135" s="114"/>
      <c r="AJ135" s="114"/>
      <c r="AK135" s="114"/>
      <c r="AL135" s="114"/>
    </row>
    <row r="136" spans="2:38" ht="15.75" customHeight="1">
      <c r="B136" s="114"/>
      <c r="C136" s="114"/>
      <c r="D136" s="114"/>
      <c r="E136" s="114"/>
      <c r="F136" s="114"/>
      <c r="G136" s="114"/>
      <c r="H136" s="114"/>
      <c r="I136" s="114"/>
      <c r="J136" s="114"/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  <c r="AA136" s="114"/>
      <c r="AB136" s="114"/>
      <c r="AC136" s="114"/>
      <c r="AD136" s="114"/>
      <c r="AE136" s="114"/>
      <c r="AF136" s="114"/>
      <c r="AG136" s="114"/>
      <c r="AH136" s="114"/>
      <c r="AI136" s="114"/>
      <c r="AJ136" s="114"/>
      <c r="AK136" s="114"/>
      <c r="AL136" s="114"/>
    </row>
    <row r="137" spans="2:38" ht="15.75" customHeight="1">
      <c r="B137" s="114"/>
      <c r="C137" s="114"/>
      <c r="D137" s="114"/>
      <c r="E137" s="114"/>
      <c r="F137" s="114"/>
      <c r="G137" s="114"/>
      <c r="H137" s="114"/>
      <c r="I137" s="114"/>
      <c r="J137" s="114"/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  <c r="AA137" s="114"/>
      <c r="AB137" s="114"/>
      <c r="AC137" s="114"/>
      <c r="AD137" s="114"/>
      <c r="AE137" s="114"/>
      <c r="AF137" s="114"/>
      <c r="AG137" s="114"/>
      <c r="AH137" s="114"/>
      <c r="AI137" s="114"/>
      <c r="AJ137" s="114"/>
      <c r="AK137" s="114"/>
      <c r="AL137" s="114"/>
    </row>
    <row r="138" spans="2:38" ht="15.75" customHeight="1">
      <c r="B138" s="114"/>
      <c r="C138" s="114"/>
      <c r="D138" s="114"/>
      <c r="E138" s="114"/>
      <c r="F138" s="114"/>
      <c r="G138" s="114"/>
      <c r="H138" s="114"/>
      <c r="I138" s="114"/>
      <c r="J138" s="114"/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  <c r="AB138" s="114"/>
      <c r="AC138" s="114"/>
      <c r="AD138" s="114"/>
      <c r="AE138" s="114"/>
      <c r="AF138" s="114"/>
      <c r="AG138" s="114"/>
      <c r="AH138" s="114"/>
      <c r="AI138" s="114"/>
      <c r="AJ138" s="114"/>
      <c r="AK138" s="114"/>
      <c r="AL138" s="114"/>
    </row>
    <row r="139" spans="2:38" ht="15.75" customHeight="1">
      <c r="B139" s="114"/>
      <c r="C139" s="114"/>
      <c r="D139" s="114"/>
      <c r="E139" s="114"/>
      <c r="F139" s="114"/>
      <c r="G139" s="114"/>
      <c r="H139" s="114"/>
      <c r="I139" s="114"/>
      <c r="J139" s="114"/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  <c r="AA139" s="114"/>
      <c r="AB139" s="114"/>
      <c r="AC139" s="114"/>
      <c r="AD139" s="114"/>
      <c r="AE139" s="114"/>
      <c r="AF139" s="114"/>
      <c r="AG139" s="114"/>
      <c r="AH139" s="114"/>
      <c r="AI139" s="114"/>
      <c r="AJ139" s="114"/>
      <c r="AK139" s="114"/>
      <c r="AL139" s="114"/>
    </row>
    <row r="140" spans="2:38" ht="15.75" customHeight="1">
      <c r="B140" s="114"/>
      <c r="C140" s="114"/>
      <c r="D140" s="114"/>
      <c r="E140" s="114"/>
      <c r="F140" s="114"/>
      <c r="G140" s="114"/>
      <c r="H140" s="114"/>
      <c r="I140" s="114"/>
      <c r="J140" s="114"/>
      <c r="K140" s="114"/>
      <c r="L140" s="114"/>
      <c r="M140" s="114"/>
      <c r="N140" s="114"/>
      <c r="O140" s="114"/>
      <c r="P140" s="114"/>
      <c r="Q140" s="114"/>
      <c r="R140" s="114"/>
      <c r="S140" s="114"/>
      <c r="T140" s="114"/>
      <c r="U140" s="114"/>
      <c r="V140" s="114"/>
      <c r="W140" s="114"/>
      <c r="X140" s="114"/>
      <c r="Y140" s="114"/>
      <c r="Z140" s="114"/>
      <c r="AA140" s="114"/>
      <c r="AB140" s="114"/>
      <c r="AC140" s="114"/>
      <c r="AD140" s="114"/>
      <c r="AE140" s="114"/>
      <c r="AF140" s="114"/>
      <c r="AG140" s="114"/>
      <c r="AH140" s="114"/>
      <c r="AI140" s="114"/>
      <c r="AJ140" s="114"/>
      <c r="AK140" s="114"/>
      <c r="AL140" s="114"/>
    </row>
    <row r="141" spans="2:38" ht="15.75" customHeight="1">
      <c r="B141" s="114"/>
      <c r="C141" s="114"/>
      <c r="D141" s="114"/>
      <c r="E141" s="114"/>
      <c r="F141" s="114"/>
      <c r="G141" s="114"/>
      <c r="H141" s="114"/>
      <c r="I141" s="114"/>
      <c r="J141" s="114"/>
      <c r="K141" s="114"/>
      <c r="L141" s="114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4"/>
      <c r="AA141" s="114"/>
      <c r="AB141" s="114"/>
      <c r="AC141" s="114"/>
      <c r="AD141" s="114"/>
      <c r="AE141" s="114"/>
      <c r="AF141" s="114"/>
      <c r="AG141" s="114"/>
      <c r="AH141" s="114"/>
      <c r="AI141" s="114"/>
      <c r="AJ141" s="114"/>
      <c r="AK141" s="114"/>
      <c r="AL141" s="114"/>
    </row>
    <row r="142" spans="2:38" ht="15.75" customHeight="1">
      <c r="B142" s="114"/>
      <c r="C142" s="114"/>
      <c r="D142" s="114"/>
      <c r="E142" s="114"/>
      <c r="F142" s="114"/>
      <c r="G142" s="114"/>
      <c r="H142" s="114"/>
      <c r="I142" s="114"/>
      <c r="J142" s="114"/>
      <c r="K142" s="114"/>
      <c r="L142" s="114"/>
      <c r="M142" s="114"/>
      <c r="N142" s="114"/>
      <c r="O142" s="114"/>
      <c r="P142" s="114"/>
      <c r="Q142" s="114"/>
      <c r="R142" s="114"/>
      <c r="S142" s="114"/>
      <c r="T142" s="114"/>
      <c r="U142" s="114"/>
      <c r="V142" s="114"/>
      <c r="W142" s="114"/>
      <c r="X142" s="114"/>
      <c r="Y142" s="114"/>
      <c r="Z142" s="114"/>
      <c r="AA142" s="114"/>
      <c r="AB142" s="114"/>
      <c r="AC142" s="114"/>
      <c r="AD142" s="114"/>
      <c r="AE142" s="114"/>
      <c r="AF142" s="114"/>
      <c r="AG142" s="114"/>
      <c r="AH142" s="114"/>
      <c r="AI142" s="114"/>
      <c r="AJ142" s="114"/>
      <c r="AK142" s="114"/>
      <c r="AL142" s="114"/>
    </row>
    <row r="143" spans="2:38" ht="15.75" customHeight="1">
      <c r="B143" s="114"/>
      <c r="C143" s="114"/>
      <c r="D143" s="114"/>
      <c r="E143" s="114"/>
      <c r="F143" s="114"/>
      <c r="G143" s="114"/>
      <c r="H143" s="114"/>
      <c r="I143" s="114"/>
      <c r="J143" s="114"/>
      <c r="K143" s="114"/>
      <c r="L143" s="114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4"/>
      <c r="AA143" s="114"/>
      <c r="AB143" s="114"/>
      <c r="AC143" s="114"/>
      <c r="AD143" s="114"/>
      <c r="AE143" s="114"/>
      <c r="AF143" s="114"/>
      <c r="AG143" s="114"/>
      <c r="AH143" s="114"/>
      <c r="AI143" s="114"/>
      <c r="AJ143" s="114"/>
      <c r="AK143" s="114"/>
      <c r="AL143" s="114"/>
    </row>
    <row r="144" spans="2:38" ht="15.75" customHeight="1">
      <c r="B144" s="114"/>
      <c r="C144" s="114"/>
      <c r="D144" s="114"/>
      <c r="E144" s="114"/>
      <c r="F144" s="114"/>
      <c r="G144" s="114"/>
      <c r="H144" s="114"/>
      <c r="I144" s="114"/>
      <c r="J144" s="114"/>
      <c r="K144" s="114"/>
      <c r="L144" s="114"/>
      <c r="M144" s="114"/>
      <c r="N144" s="114"/>
      <c r="O144" s="114"/>
      <c r="P144" s="114"/>
      <c r="Q144" s="114"/>
      <c r="R144" s="114"/>
      <c r="S144" s="114"/>
      <c r="T144" s="114"/>
      <c r="U144" s="114"/>
      <c r="V144" s="114"/>
      <c r="W144" s="114"/>
      <c r="X144" s="114"/>
      <c r="Y144" s="114"/>
      <c r="Z144" s="114"/>
      <c r="AA144" s="114"/>
      <c r="AB144" s="114"/>
      <c r="AC144" s="114"/>
      <c r="AD144" s="114"/>
      <c r="AE144" s="114"/>
      <c r="AF144" s="114"/>
      <c r="AG144" s="114"/>
      <c r="AH144" s="114"/>
      <c r="AI144" s="114"/>
      <c r="AJ144" s="114"/>
      <c r="AK144" s="114"/>
      <c r="AL144" s="114"/>
    </row>
    <row r="145" spans="2:38" ht="15.75" customHeight="1">
      <c r="B145" s="114"/>
      <c r="C145" s="114"/>
      <c r="D145" s="114"/>
      <c r="E145" s="114"/>
      <c r="F145" s="114"/>
      <c r="G145" s="114"/>
      <c r="H145" s="114"/>
      <c r="I145" s="114"/>
      <c r="J145" s="114"/>
      <c r="K145" s="114"/>
      <c r="L145" s="114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4"/>
      <c r="AA145" s="114"/>
      <c r="AB145" s="114"/>
      <c r="AC145" s="114"/>
      <c r="AD145" s="114"/>
      <c r="AE145" s="114"/>
      <c r="AF145" s="114"/>
      <c r="AG145" s="114"/>
      <c r="AH145" s="114"/>
      <c r="AI145" s="114"/>
      <c r="AJ145" s="114"/>
      <c r="AK145" s="114"/>
      <c r="AL145" s="114"/>
    </row>
    <row r="146" spans="2:38" ht="15.75" customHeight="1">
      <c r="B146" s="114"/>
      <c r="C146" s="114"/>
      <c r="D146" s="114"/>
      <c r="E146" s="114"/>
      <c r="F146" s="114"/>
      <c r="G146" s="114"/>
      <c r="H146" s="114"/>
      <c r="I146" s="114"/>
      <c r="J146" s="114"/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/>
      <c r="V146" s="114"/>
      <c r="W146" s="114"/>
      <c r="X146" s="114"/>
      <c r="Y146" s="114"/>
      <c r="Z146" s="114"/>
      <c r="AA146" s="114"/>
      <c r="AB146" s="114"/>
      <c r="AC146" s="114"/>
      <c r="AD146" s="114"/>
      <c r="AE146" s="114"/>
      <c r="AF146" s="114"/>
      <c r="AG146" s="114"/>
      <c r="AH146" s="114"/>
      <c r="AI146" s="114"/>
      <c r="AJ146" s="114"/>
      <c r="AK146" s="114"/>
      <c r="AL146" s="114"/>
    </row>
    <row r="147" spans="2:38" ht="15.75" customHeight="1">
      <c r="B147" s="114"/>
      <c r="C147" s="114"/>
      <c r="D147" s="114"/>
      <c r="E147" s="114"/>
      <c r="F147" s="114"/>
      <c r="G147" s="114"/>
      <c r="H147" s="114"/>
      <c r="I147" s="114"/>
      <c r="J147" s="114"/>
      <c r="K147" s="114"/>
      <c r="L147" s="114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4"/>
      <c r="AA147" s="114"/>
      <c r="AB147" s="114"/>
      <c r="AC147" s="114"/>
      <c r="AD147" s="114"/>
      <c r="AE147" s="114"/>
      <c r="AF147" s="114"/>
      <c r="AG147" s="114"/>
      <c r="AH147" s="114"/>
      <c r="AI147" s="114"/>
      <c r="AJ147" s="114"/>
      <c r="AK147" s="114"/>
      <c r="AL147" s="114"/>
    </row>
    <row r="148" spans="2:38" ht="15.75" customHeight="1">
      <c r="B148" s="114"/>
      <c r="C148" s="114"/>
      <c r="D148" s="114"/>
      <c r="E148" s="114"/>
      <c r="F148" s="114"/>
      <c r="G148" s="114"/>
      <c r="H148" s="114"/>
      <c r="I148" s="114"/>
      <c r="J148" s="114"/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  <c r="AA148" s="114"/>
      <c r="AB148" s="114"/>
      <c r="AC148" s="114"/>
      <c r="AD148" s="114"/>
      <c r="AE148" s="114"/>
      <c r="AF148" s="114"/>
      <c r="AG148" s="114"/>
      <c r="AH148" s="114"/>
      <c r="AI148" s="114"/>
      <c r="AJ148" s="114"/>
      <c r="AK148" s="114"/>
      <c r="AL148" s="114"/>
    </row>
    <row r="149" spans="2:38" ht="15.75" customHeight="1">
      <c r="B149" s="114"/>
      <c r="C149" s="114"/>
      <c r="D149" s="114"/>
      <c r="E149" s="114"/>
      <c r="F149" s="114"/>
      <c r="G149" s="114"/>
      <c r="H149" s="114"/>
      <c r="I149" s="114"/>
      <c r="J149" s="114"/>
      <c r="K149" s="114"/>
      <c r="L149" s="114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4"/>
      <c r="AA149" s="114"/>
      <c r="AB149" s="114"/>
      <c r="AC149" s="114"/>
      <c r="AD149" s="114"/>
      <c r="AE149" s="114"/>
      <c r="AF149" s="114"/>
      <c r="AG149" s="114"/>
      <c r="AH149" s="114"/>
      <c r="AI149" s="114"/>
      <c r="AJ149" s="114"/>
      <c r="AK149" s="114"/>
      <c r="AL149" s="114"/>
    </row>
    <row r="150" spans="2:38" ht="15.75" customHeight="1">
      <c r="B150" s="114"/>
      <c r="C150" s="114"/>
      <c r="D150" s="114"/>
      <c r="E150" s="114"/>
      <c r="F150" s="114"/>
      <c r="G150" s="114"/>
      <c r="H150" s="114"/>
      <c r="I150" s="114"/>
      <c r="J150" s="114"/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  <c r="AA150" s="114"/>
      <c r="AB150" s="114"/>
      <c r="AC150" s="114"/>
      <c r="AD150" s="114"/>
      <c r="AE150" s="114"/>
      <c r="AF150" s="114"/>
      <c r="AG150" s="114"/>
      <c r="AH150" s="114"/>
      <c r="AI150" s="114"/>
      <c r="AJ150" s="114"/>
      <c r="AK150" s="114"/>
      <c r="AL150" s="114"/>
    </row>
    <row r="151" spans="2:38" ht="15.75" customHeight="1">
      <c r="B151" s="114"/>
      <c r="C151" s="114"/>
      <c r="D151" s="114"/>
      <c r="E151" s="114"/>
      <c r="F151" s="114"/>
      <c r="G151" s="114"/>
      <c r="H151" s="114"/>
      <c r="I151" s="114"/>
      <c r="J151" s="114"/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  <c r="AA151" s="114"/>
      <c r="AB151" s="114"/>
      <c r="AC151" s="114"/>
      <c r="AD151" s="114"/>
      <c r="AE151" s="114"/>
      <c r="AF151" s="114"/>
      <c r="AG151" s="114"/>
      <c r="AH151" s="114"/>
      <c r="AI151" s="114"/>
      <c r="AJ151" s="114"/>
      <c r="AK151" s="114"/>
      <c r="AL151" s="114"/>
    </row>
    <row r="152" spans="2:38" ht="15.75" customHeight="1">
      <c r="B152" s="114"/>
      <c r="C152" s="114"/>
      <c r="D152" s="114"/>
      <c r="E152" s="114"/>
      <c r="F152" s="114"/>
      <c r="G152" s="114"/>
      <c r="H152" s="114"/>
      <c r="I152" s="114"/>
      <c r="J152" s="114"/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  <c r="AA152" s="114"/>
      <c r="AB152" s="114"/>
      <c r="AC152" s="114"/>
      <c r="AD152" s="114"/>
      <c r="AE152" s="114"/>
      <c r="AF152" s="114"/>
      <c r="AG152" s="114"/>
      <c r="AH152" s="114"/>
      <c r="AI152" s="114"/>
      <c r="AJ152" s="114"/>
      <c r="AK152" s="114"/>
      <c r="AL152" s="114"/>
    </row>
    <row r="153" spans="2:38" ht="15.75" customHeight="1">
      <c r="B153" s="114"/>
      <c r="C153" s="114"/>
      <c r="D153" s="114"/>
      <c r="E153" s="114"/>
      <c r="F153" s="114"/>
      <c r="G153" s="114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  <c r="AA153" s="114"/>
      <c r="AB153" s="114"/>
      <c r="AC153" s="114"/>
      <c r="AD153" s="114"/>
      <c r="AE153" s="114"/>
      <c r="AF153" s="114"/>
      <c r="AG153" s="114"/>
      <c r="AH153" s="114"/>
      <c r="AI153" s="114"/>
      <c r="AJ153" s="114"/>
      <c r="AK153" s="114"/>
      <c r="AL153" s="114"/>
    </row>
    <row r="154" spans="2:38" ht="15.75" customHeight="1"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  <c r="AA154" s="114"/>
      <c r="AB154" s="114"/>
      <c r="AC154" s="114"/>
      <c r="AD154" s="114"/>
      <c r="AE154" s="114"/>
      <c r="AF154" s="114"/>
      <c r="AG154" s="114"/>
      <c r="AH154" s="114"/>
      <c r="AI154" s="114"/>
      <c r="AJ154" s="114"/>
      <c r="AK154" s="114"/>
      <c r="AL154" s="114"/>
    </row>
    <row r="155" spans="2:38" ht="15.75" customHeight="1">
      <c r="B155" s="114"/>
      <c r="C155" s="114"/>
      <c r="D155" s="114"/>
      <c r="E155" s="114"/>
      <c r="F155" s="114"/>
      <c r="G155" s="114"/>
      <c r="H155" s="114"/>
      <c r="I155" s="114"/>
      <c r="J155" s="114"/>
      <c r="K155" s="114"/>
      <c r="L155" s="114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4"/>
      <c r="AA155" s="114"/>
      <c r="AB155" s="114"/>
      <c r="AC155" s="114"/>
      <c r="AD155" s="114"/>
      <c r="AE155" s="114"/>
      <c r="AF155" s="114"/>
      <c r="AG155" s="114"/>
      <c r="AH155" s="114"/>
      <c r="AI155" s="114"/>
      <c r="AJ155" s="114"/>
      <c r="AK155" s="114"/>
      <c r="AL155" s="114"/>
    </row>
    <row r="156" spans="2:38" ht="15.75" customHeight="1">
      <c r="B156" s="114"/>
      <c r="C156" s="114"/>
      <c r="D156" s="114"/>
      <c r="E156" s="114"/>
      <c r="F156" s="114"/>
      <c r="G156" s="114"/>
      <c r="H156" s="114"/>
      <c r="I156" s="114"/>
      <c r="J156" s="114"/>
      <c r="K156" s="114"/>
      <c r="L156" s="114"/>
      <c r="M156" s="114"/>
      <c r="N156" s="114"/>
      <c r="O156" s="114"/>
      <c r="P156" s="114"/>
      <c r="Q156" s="114"/>
      <c r="R156" s="114"/>
      <c r="S156" s="114"/>
      <c r="T156" s="114"/>
      <c r="U156" s="114"/>
      <c r="V156" s="114"/>
      <c r="W156" s="114"/>
      <c r="X156" s="114"/>
      <c r="Y156" s="114"/>
      <c r="Z156" s="114"/>
      <c r="AA156" s="114"/>
      <c r="AB156" s="114"/>
      <c r="AC156" s="114"/>
      <c r="AD156" s="114"/>
      <c r="AE156" s="114"/>
      <c r="AF156" s="114"/>
      <c r="AG156" s="114"/>
      <c r="AH156" s="114"/>
      <c r="AI156" s="114"/>
      <c r="AJ156" s="114"/>
      <c r="AK156" s="114"/>
      <c r="AL156" s="114"/>
    </row>
    <row r="157" spans="2:38" ht="15.75" customHeight="1">
      <c r="B157" s="114"/>
      <c r="C157" s="114"/>
      <c r="D157" s="114"/>
      <c r="E157" s="114"/>
      <c r="F157" s="114"/>
      <c r="G157" s="114"/>
      <c r="H157" s="114"/>
      <c r="I157" s="114"/>
      <c r="J157" s="114"/>
      <c r="K157" s="114"/>
      <c r="L157" s="114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4"/>
      <c r="AA157" s="114"/>
      <c r="AB157" s="114"/>
      <c r="AC157" s="114"/>
      <c r="AD157" s="114"/>
      <c r="AE157" s="114"/>
      <c r="AF157" s="114"/>
      <c r="AG157" s="114"/>
      <c r="AH157" s="114"/>
      <c r="AI157" s="114"/>
      <c r="AJ157" s="114"/>
      <c r="AK157" s="114"/>
      <c r="AL157" s="114"/>
    </row>
    <row r="158" spans="2:38" ht="15.75" customHeight="1">
      <c r="B158" s="114"/>
      <c r="C158" s="114"/>
      <c r="D158" s="114"/>
      <c r="E158" s="114"/>
      <c r="F158" s="114"/>
      <c r="G158" s="114"/>
      <c r="H158" s="114"/>
      <c r="I158" s="114"/>
      <c r="J158" s="114"/>
      <c r="K158" s="114"/>
      <c r="L158" s="114"/>
      <c r="M158" s="114"/>
      <c r="N158" s="114"/>
      <c r="O158" s="114"/>
      <c r="P158" s="114"/>
      <c r="Q158" s="114"/>
      <c r="R158" s="114"/>
      <c r="S158" s="114"/>
      <c r="T158" s="114"/>
      <c r="U158" s="114"/>
      <c r="V158" s="114"/>
      <c r="W158" s="114"/>
      <c r="X158" s="114"/>
      <c r="Y158" s="114"/>
      <c r="Z158" s="114"/>
      <c r="AA158" s="114"/>
      <c r="AB158" s="114"/>
      <c r="AC158" s="114"/>
      <c r="AD158" s="114"/>
      <c r="AE158" s="114"/>
      <c r="AF158" s="114"/>
      <c r="AG158" s="114"/>
      <c r="AH158" s="114"/>
      <c r="AI158" s="114"/>
      <c r="AJ158" s="114"/>
      <c r="AK158" s="114"/>
      <c r="AL158" s="114"/>
    </row>
    <row r="159" spans="2:38" ht="15.75" customHeight="1">
      <c r="B159" s="114"/>
      <c r="C159" s="114"/>
      <c r="D159" s="114"/>
      <c r="E159" s="114"/>
      <c r="F159" s="114"/>
      <c r="G159" s="114"/>
      <c r="H159" s="114"/>
      <c r="I159" s="114"/>
      <c r="J159" s="114"/>
      <c r="K159" s="114"/>
      <c r="L159" s="114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4"/>
      <c r="AA159" s="114"/>
      <c r="AB159" s="114"/>
      <c r="AC159" s="114"/>
      <c r="AD159" s="114"/>
      <c r="AE159" s="114"/>
      <c r="AF159" s="114"/>
      <c r="AG159" s="114"/>
      <c r="AH159" s="114"/>
      <c r="AI159" s="114"/>
      <c r="AJ159" s="114"/>
      <c r="AK159" s="114"/>
      <c r="AL159" s="114"/>
    </row>
    <row r="160" spans="2:38" ht="15.75" customHeight="1">
      <c r="B160" s="114"/>
      <c r="C160" s="114"/>
      <c r="D160" s="114"/>
      <c r="E160" s="114"/>
      <c r="F160" s="114"/>
      <c r="G160" s="114"/>
      <c r="H160" s="114"/>
      <c r="I160" s="114"/>
      <c r="J160" s="114"/>
      <c r="K160" s="114"/>
      <c r="L160" s="114"/>
      <c r="M160" s="114"/>
      <c r="N160" s="114"/>
      <c r="O160" s="114"/>
      <c r="P160" s="114"/>
      <c r="Q160" s="114"/>
      <c r="R160" s="114"/>
      <c r="S160" s="114"/>
      <c r="T160" s="114"/>
      <c r="U160" s="114"/>
      <c r="V160" s="114"/>
      <c r="W160" s="114"/>
      <c r="X160" s="114"/>
      <c r="Y160" s="114"/>
      <c r="Z160" s="114"/>
      <c r="AA160" s="114"/>
      <c r="AB160" s="114"/>
      <c r="AC160" s="114"/>
      <c r="AD160" s="114"/>
      <c r="AE160" s="114"/>
      <c r="AF160" s="114"/>
      <c r="AG160" s="114"/>
      <c r="AH160" s="114"/>
      <c r="AI160" s="114"/>
      <c r="AJ160" s="114"/>
      <c r="AK160" s="114"/>
      <c r="AL160" s="114"/>
    </row>
    <row r="161" spans="2:38" ht="15.75" customHeight="1">
      <c r="B161" s="114"/>
      <c r="C161" s="114"/>
      <c r="D161" s="114"/>
      <c r="E161" s="114"/>
      <c r="F161" s="114"/>
      <c r="G161" s="114"/>
      <c r="H161" s="114"/>
      <c r="I161" s="114"/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4"/>
      <c r="AA161" s="114"/>
      <c r="AB161" s="114"/>
      <c r="AC161" s="114"/>
      <c r="AD161" s="114"/>
      <c r="AE161" s="114"/>
      <c r="AF161" s="114"/>
      <c r="AG161" s="114"/>
      <c r="AH161" s="114"/>
      <c r="AI161" s="114"/>
      <c r="AJ161" s="114"/>
      <c r="AK161" s="114"/>
      <c r="AL161" s="114"/>
    </row>
    <row r="162" spans="2:38" ht="15.75" customHeight="1">
      <c r="B162" s="114"/>
      <c r="C162" s="114"/>
      <c r="D162" s="114"/>
      <c r="E162" s="114"/>
      <c r="F162" s="114"/>
      <c r="G162" s="114"/>
      <c r="H162" s="114"/>
      <c r="I162" s="114"/>
      <c r="J162" s="114"/>
      <c r="K162" s="114"/>
      <c r="L162" s="114"/>
      <c r="M162" s="114"/>
      <c r="N162" s="114"/>
      <c r="O162" s="114"/>
      <c r="P162" s="114"/>
      <c r="Q162" s="114"/>
      <c r="R162" s="114"/>
      <c r="S162" s="114"/>
      <c r="T162" s="114"/>
      <c r="U162" s="114"/>
      <c r="V162" s="114"/>
      <c r="W162" s="114"/>
      <c r="X162" s="114"/>
      <c r="Y162" s="114"/>
      <c r="Z162" s="114"/>
      <c r="AA162" s="114"/>
      <c r="AB162" s="114"/>
      <c r="AC162" s="114"/>
      <c r="AD162" s="114"/>
      <c r="AE162" s="114"/>
      <c r="AF162" s="114"/>
      <c r="AG162" s="114"/>
      <c r="AH162" s="114"/>
      <c r="AI162" s="114"/>
      <c r="AJ162" s="114"/>
      <c r="AK162" s="114"/>
      <c r="AL162" s="114"/>
    </row>
    <row r="163" spans="2:38" ht="15.75" customHeight="1">
      <c r="B163" s="114"/>
      <c r="C163" s="114"/>
      <c r="D163" s="114"/>
      <c r="E163" s="114"/>
      <c r="F163" s="114"/>
      <c r="G163" s="114"/>
      <c r="H163" s="114"/>
      <c r="I163" s="114"/>
      <c r="J163" s="114"/>
      <c r="K163" s="114"/>
      <c r="L163" s="114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4"/>
      <c r="AA163" s="114"/>
      <c r="AB163" s="114"/>
      <c r="AC163" s="114"/>
      <c r="AD163" s="114"/>
      <c r="AE163" s="114"/>
      <c r="AF163" s="114"/>
      <c r="AG163" s="114"/>
      <c r="AH163" s="114"/>
      <c r="AI163" s="114"/>
      <c r="AJ163" s="114"/>
      <c r="AK163" s="114"/>
      <c r="AL163" s="114"/>
    </row>
    <row r="164" spans="2:38" ht="15.75" customHeight="1">
      <c r="B164" s="114"/>
      <c r="C164" s="114"/>
      <c r="D164" s="114"/>
      <c r="E164" s="114"/>
      <c r="F164" s="114"/>
      <c r="G164" s="114"/>
      <c r="H164" s="114"/>
      <c r="I164" s="114"/>
      <c r="J164" s="114"/>
      <c r="K164" s="114"/>
      <c r="L164" s="114"/>
      <c r="M164" s="114"/>
      <c r="N164" s="114"/>
      <c r="O164" s="114"/>
      <c r="P164" s="114"/>
      <c r="Q164" s="114"/>
      <c r="R164" s="114"/>
      <c r="S164" s="114"/>
      <c r="T164" s="114"/>
      <c r="U164" s="114"/>
      <c r="V164" s="114"/>
      <c r="W164" s="114"/>
      <c r="X164" s="114"/>
      <c r="Y164" s="114"/>
      <c r="Z164" s="114"/>
      <c r="AA164" s="114"/>
      <c r="AB164" s="114"/>
      <c r="AC164" s="114"/>
      <c r="AD164" s="114"/>
      <c r="AE164" s="114"/>
      <c r="AF164" s="114"/>
      <c r="AG164" s="114"/>
      <c r="AH164" s="114"/>
      <c r="AI164" s="114"/>
      <c r="AJ164" s="114"/>
      <c r="AK164" s="114"/>
      <c r="AL164" s="114"/>
    </row>
    <row r="165" spans="2:38" ht="15.75" customHeight="1">
      <c r="B165" s="114"/>
      <c r="C165" s="114"/>
      <c r="D165" s="114"/>
      <c r="E165" s="114"/>
      <c r="F165" s="114"/>
      <c r="G165" s="114"/>
      <c r="H165" s="114"/>
      <c r="I165" s="114"/>
      <c r="J165" s="114"/>
      <c r="K165" s="114"/>
      <c r="L165" s="114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4"/>
      <c r="AA165" s="114"/>
      <c r="AB165" s="114"/>
      <c r="AC165" s="114"/>
      <c r="AD165" s="114"/>
      <c r="AE165" s="114"/>
      <c r="AF165" s="114"/>
      <c r="AG165" s="114"/>
      <c r="AH165" s="114"/>
      <c r="AI165" s="114"/>
      <c r="AJ165" s="114"/>
      <c r="AK165" s="114"/>
      <c r="AL165" s="114"/>
    </row>
    <row r="166" spans="2:38" ht="15.75" customHeight="1">
      <c r="B166" s="114"/>
      <c r="C166" s="114"/>
      <c r="D166" s="114"/>
      <c r="E166" s="114"/>
      <c r="F166" s="114"/>
      <c r="G166" s="114"/>
      <c r="H166" s="114"/>
      <c r="I166" s="114"/>
      <c r="J166" s="114"/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  <c r="AA166" s="114"/>
      <c r="AB166" s="114"/>
      <c r="AC166" s="114"/>
      <c r="AD166" s="114"/>
      <c r="AE166" s="114"/>
      <c r="AF166" s="114"/>
      <c r="AG166" s="114"/>
      <c r="AH166" s="114"/>
      <c r="AI166" s="114"/>
      <c r="AJ166" s="114"/>
      <c r="AK166" s="114"/>
      <c r="AL166" s="114"/>
    </row>
    <row r="167" spans="2:38" ht="15.75" customHeight="1">
      <c r="B167" s="114"/>
      <c r="C167" s="114"/>
      <c r="D167" s="114"/>
      <c r="E167" s="114"/>
      <c r="F167" s="114"/>
      <c r="G167" s="114"/>
      <c r="H167" s="114"/>
      <c r="I167" s="114"/>
      <c r="J167" s="114"/>
      <c r="K167" s="114"/>
      <c r="L167" s="114"/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4"/>
      <c r="AA167" s="114"/>
      <c r="AB167" s="114"/>
      <c r="AC167" s="114"/>
      <c r="AD167" s="114"/>
      <c r="AE167" s="114"/>
      <c r="AF167" s="114"/>
      <c r="AG167" s="114"/>
      <c r="AH167" s="114"/>
      <c r="AI167" s="114"/>
      <c r="AJ167" s="114"/>
      <c r="AK167" s="114"/>
      <c r="AL167" s="114"/>
    </row>
    <row r="168" spans="2:38" ht="15.75" customHeight="1">
      <c r="B168" s="114"/>
      <c r="C168" s="114"/>
      <c r="D168" s="114"/>
      <c r="E168" s="114"/>
      <c r="F168" s="114"/>
      <c r="G168" s="114"/>
      <c r="H168" s="114"/>
      <c r="I168" s="114"/>
      <c r="J168" s="114"/>
      <c r="K168" s="114"/>
      <c r="L168" s="114"/>
      <c r="M168" s="114"/>
      <c r="N168" s="114"/>
      <c r="O168" s="114"/>
      <c r="P168" s="114"/>
      <c r="Q168" s="114"/>
      <c r="R168" s="114"/>
      <c r="S168" s="114"/>
      <c r="T168" s="114"/>
      <c r="U168" s="114"/>
      <c r="V168" s="114"/>
      <c r="W168" s="114"/>
      <c r="X168" s="114"/>
      <c r="Y168" s="114"/>
      <c r="Z168" s="114"/>
      <c r="AA168" s="114"/>
      <c r="AB168" s="114"/>
      <c r="AC168" s="114"/>
      <c r="AD168" s="114"/>
      <c r="AE168" s="114"/>
      <c r="AF168" s="114"/>
      <c r="AG168" s="114"/>
      <c r="AH168" s="114"/>
      <c r="AI168" s="114"/>
      <c r="AJ168" s="114"/>
      <c r="AK168" s="114"/>
      <c r="AL168" s="114"/>
    </row>
    <row r="169" spans="2:38" ht="15.75" customHeight="1">
      <c r="B169" s="114"/>
      <c r="C169" s="114"/>
      <c r="D169" s="114"/>
      <c r="E169" s="114"/>
      <c r="F169" s="114"/>
      <c r="G169" s="114"/>
      <c r="H169" s="114"/>
      <c r="I169" s="114"/>
      <c r="J169" s="114"/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4"/>
      <c r="AA169" s="114"/>
      <c r="AB169" s="114"/>
      <c r="AC169" s="114"/>
      <c r="AD169" s="114"/>
      <c r="AE169" s="114"/>
      <c r="AF169" s="114"/>
      <c r="AG169" s="114"/>
      <c r="AH169" s="114"/>
      <c r="AI169" s="114"/>
      <c r="AJ169" s="114"/>
      <c r="AK169" s="114"/>
      <c r="AL169" s="114"/>
    </row>
    <row r="170" spans="2:38" ht="15.75" customHeight="1">
      <c r="B170" s="114"/>
      <c r="C170" s="114"/>
      <c r="D170" s="114"/>
      <c r="E170" s="114"/>
      <c r="F170" s="114"/>
      <c r="G170" s="114"/>
      <c r="H170" s="114"/>
      <c r="I170" s="114"/>
      <c r="J170" s="114"/>
      <c r="K170" s="114"/>
      <c r="L170" s="114"/>
      <c r="M170" s="114"/>
      <c r="N170" s="114"/>
      <c r="O170" s="114"/>
      <c r="P170" s="114"/>
      <c r="Q170" s="114"/>
      <c r="R170" s="114"/>
      <c r="S170" s="114"/>
      <c r="T170" s="114"/>
      <c r="U170" s="114"/>
      <c r="V170" s="114"/>
      <c r="W170" s="114"/>
      <c r="X170" s="114"/>
      <c r="Y170" s="114"/>
      <c r="Z170" s="114"/>
      <c r="AA170" s="114"/>
      <c r="AB170" s="114"/>
      <c r="AC170" s="114"/>
      <c r="AD170" s="114"/>
      <c r="AE170" s="114"/>
      <c r="AF170" s="114"/>
      <c r="AG170" s="114"/>
      <c r="AH170" s="114"/>
      <c r="AI170" s="114"/>
      <c r="AJ170" s="114"/>
      <c r="AK170" s="114"/>
      <c r="AL170" s="114"/>
    </row>
    <row r="171" spans="2:38" ht="15.75" customHeight="1">
      <c r="B171" s="114"/>
      <c r="C171" s="114"/>
      <c r="D171" s="114"/>
      <c r="E171" s="114"/>
      <c r="F171" s="114"/>
      <c r="G171" s="114"/>
      <c r="H171" s="114"/>
      <c r="I171" s="114"/>
      <c r="J171" s="114"/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  <c r="AA171" s="114"/>
      <c r="AB171" s="114"/>
      <c r="AC171" s="114"/>
      <c r="AD171" s="114"/>
      <c r="AE171" s="114"/>
      <c r="AF171" s="114"/>
      <c r="AG171" s="114"/>
      <c r="AH171" s="114"/>
      <c r="AI171" s="114"/>
      <c r="AJ171" s="114"/>
      <c r="AK171" s="114"/>
      <c r="AL171" s="114"/>
    </row>
    <row r="172" spans="2:38" ht="15.75" customHeight="1">
      <c r="B172" s="114"/>
      <c r="C172" s="114"/>
      <c r="D172" s="114"/>
      <c r="E172" s="114"/>
      <c r="F172" s="114"/>
      <c r="G172" s="114"/>
      <c r="H172" s="114"/>
      <c r="I172" s="114"/>
      <c r="J172" s="114"/>
      <c r="K172" s="114"/>
      <c r="L172" s="114"/>
      <c r="M172" s="114"/>
      <c r="N172" s="114"/>
      <c r="O172" s="114"/>
      <c r="P172" s="114"/>
      <c r="Q172" s="114"/>
      <c r="R172" s="114"/>
      <c r="S172" s="114"/>
      <c r="T172" s="114"/>
      <c r="U172" s="114"/>
      <c r="V172" s="114"/>
      <c r="W172" s="114"/>
      <c r="X172" s="114"/>
      <c r="Y172" s="114"/>
      <c r="Z172" s="114"/>
      <c r="AA172" s="114"/>
      <c r="AB172" s="114"/>
      <c r="AC172" s="114"/>
      <c r="AD172" s="114"/>
      <c r="AE172" s="114"/>
      <c r="AF172" s="114"/>
      <c r="AG172" s="114"/>
      <c r="AH172" s="114"/>
      <c r="AI172" s="114"/>
      <c r="AJ172" s="114"/>
      <c r="AK172" s="114"/>
      <c r="AL172" s="114"/>
    </row>
    <row r="173" spans="2:38" ht="15.75" customHeight="1">
      <c r="B173" s="114"/>
      <c r="C173" s="114"/>
      <c r="D173" s="114"/>
      <c r="E173" s="114"/>
      <c r="F173" s="114"/>
      <c r="G173" s="114"/>
      <c r="H173" s="114"/>
      <c r="I173" s="114"/>
      <c r="J173" s="114"/>
      <c r="K173" s="114"/>
      <c r="L173" s="114"/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4"/>
      <c r="AA173" s="114"/>
      <c r="AB173" s="114"/>
      <c r="AC173" s="114"/>
      <c r="AD173" s="114"/>
      <c r="AE173" s="114"/>
      <c r="AF173" s="114"/>
      <c r="AG173" s="114"/>
      <c r="AH173" s="114"/>
      <c r="AI173" s="114"/>
      <c r="AJ173" s="114"/>
      <c r="AK173" s="114"/>
      <c r="AL173" s="114"/>
    </row>
    <row r="174" spans="2:38" ht="15.75" customHeight="1">
      <c r="B174" s="114"/>
      <c r="C174" s="114"/>
      <c r="D174" s="114"/>
      <c r="E174" s="114"/>
      <c r="F174" s="114"/>
      <c r="G174" s="114"/>
      <c r="H174" s="114"/>
      <c r="I174" s="114"/>
      <c r="J174" s="114"/>
      <c r="K174" s="114"/>
      <c r="L174" s="114"/>
      <c r="M174" s="114"/>
      <c r="N174" s="114"/>
      <c r="O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4"/>
      <c r="Z174" s="114"/>
      <c r="AA174" s="114"/>
      <c r="AB174" s="114"/>
      <c r="AC174" s="114"/>
      <c r="AD174" s="114"/>
      <c r="AE174" s="114"/>
      <c r="AF174" s="114"/>
      <c r="AG174" s="114"/>
      <c r="AH174" s="114"/>
      <c r="AI174" s="114"/>
      <c r="AJ174" s="114"/>
      <c r="AK174" s="114"/>
      <c r="AL174" s="114"/>
    </row>
    <row r="175" spans="2:38" ht="15.75" customHeight="1">
      <c r="B175" s="114"/>
      <c r="C175" s="114"/>
      <c r="D175" s="114"/>
      <c r="E175" s="114"/>
      <c r="F175" s="114"/>
      <c r="G175" s="114"/>
      <c r="H175" s="114"/>
      <c r="I175" s="114"/>
      <c r="J175" s="114"/>
      <c r="K175" s="114"/>
      <c r="L175" s="114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4"/>
      <c r="AA175" s="114"/>
      <c r="AB175" s="114"/>
      <c r="AC175" s="114"/>
      <c r="AD175" s="114"/>
      <c r="AE175" s="114"/>
      <c r="AF175" s="114"/>
      <c r="AG175" s="114"/>
      <c r="AH175" s="114"/>
      <c r="AI175" s="114"/>
      <c r="AJ175" s="114"/>
      <c r="AK175" s="114"/>
      <c r="AL175" s="114"/>
    </row>
    <row r="176" spans="2:38" ht="15.75" customHeight="1">
      <c r="B176" s="114"/>
      <c r="C176" s="114"/>
      <c r="D176" s="114"/>
      <c r="E176" s="114"/>
      <c r="F176" s="114"/>
      <c r="G176" s="114"/>
      <c r="H176" s="114"/>
      <c r="I176" s="114"/>
      <c r="J176" s="114"/>
      <c r="K176" s="114"/>
      <c r="L176" s="114"/>
      <c r="M176" s="114"/>
      <c r="N176" s="114"/>
      <c r="O176" s="114"/>
      <c r="P176" s="114"/>
      <c r="Q176" s="114"/>
      <c r="R176" s="114"/>
      <c r="S176" s="114"/>
      <c r="T176" s="114"/>
      <c r="U176" s="114"/>
      <c r="V176" s="114"/>
      <c r="W176" s="114"/>
      <c r="X176" s="114"/>
      <c r="Y176" s="114"/>
      <c r="Z176" s="114"/>
      <c r="AA176" s="114"/>
      <c r="AB176" s="114"/>
      <c r="AC176" s="114"/>
      <c r="AD176" s="114"/>
      <c r="AE176" s="114"/>
      <c r="AF176" s="114"/>
      <c r="AG176" s="114"/>
      <c r="AH176" s="114"/>
      <c r="AI176" s="114"/>
      <c r="AJ176" s="114"/>
      <c r="AK176" s="114"/>
      <c r="AL176" s="114"/>
    </row>
    <row r="177" spans="2:38" ht="15.75" customHeight="1">
      <c r="B177" s="114"/>
      <c r="C177" s="114"/>
      <c r="D177" s="114"/>
      <c r="E177" s="114"/>
      <c r="F177" s="114"/>
      <c r="G177" s="114"/>
      <c r="H177" s="114"/>
      <c r="I177" s="114"/>
      <c r="J177" s="114"/>
      <c r="K177" s="114"/>
      <c r="L177" s="114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4"/>
      <c r="AA177" s="114"/>
      <c r="AB177" s="114"/>
      <c r="AC177" s="114"/>
      <c r="AD177" s="114"/>
      <c r="AE177" s="114"/>
      <c r="AF177" s="114"/>
      <c r="AG177" s="114"/>
      <c r="AH177" s="114"/>
      <c r="AI177" s="114"/>
      <c r="AJ177" s="114"/>
      <c r="AK177" s="114"/>
      <c r="AL177" s="114"/>
    </row>
    <row r="178" spans="2:38" ht="15.75" customHeight="1">
      <c r="B178" s="114"/>
      <c r="C178" s="114"/>
      <c r="D178" s="114"/>
      <c r="E178" s="114"/>
      <c r="F178" s="114"/>
      <c r="G178" s="114"/>
      <c r="H178" s="114"/>
      <c r="I178" s="114"/>
      <c r="J178" s="114"/>
      <c r="K178" s="114"/>
      <c r="L178" s="114"/>
      <c r="M178" s="114"/>
      <c r="N178" s="114"/>
      <c r="O178" s="114"/>
      <c r="P178" s="114"/>
      <c r="Q178" s="114"/>
      <c r="R178" s="114"/>
      <c r="S178" s="114"/>
      <c r="T178" s="114"/>
      <c r="U178" s="114"/>
      <c r="V178" s="114"/>
      <c r="W178" s="114"/>
      <c r="X178" s="114"/>
      <c r="Y178" s="114"/>
      <c r="Z178" s="114"/>
      <c r="AA178" s="114"/>
      <c r="AB178" s="114"/>
      <c r="AC178" s="114"/>
      <c r="AD178" s="114"/>
      <c r="AE178" s="114"/>
      <c r="AF178" s="114"/>
      <c r="AG178" s="114"/>
      <c r="AH178" s="114"/>
      <c r="AI178" s="114"/>
      <c r="AJ178" s="114"/>
      <c r="AK178" s="114"/>
      <c r="AL178" s="114"/>
    </row>
    <row r="179" spans="2:38" ht="15.75" customHeight="1">
      <c r="B179" s="114"/>
      <c r="C179" s="114"/>
      <c r="D179" s="114"/>
      <c r="E179" s="114"/>
      <c r="F179" s="114"/>
      <c r="G179" s="114"/>
      <c r="H179" s="114"/>
      <c r="I179" s="114"/>
      <c r="J179" s="114"/>
      <c r="K179" s="114"/>
      <c r="L179" s="114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4"/>
      <c r="AA179" s="114"/>
      <c r="AB179" s="114"/>
      <c r="AC179" s="114"/>
      <c r="AD179" s="114"/>
      <c r="AE179" s="114"/>
      <c r="AF179" s="114"/>
      <c r="AG179" s="114"/>
      <c r="AH179" s="114"/>
      <c r="AI179" s="114"/>
      <c r="AJ179" s="114"/>
      <c r="AK179" s="114"/>
      <c r="AL179" s="114"/>
    </row>
    <row r="180" spans="2:38" ht="15.75" customHeight="1">
      <c r="B180" s="114"/>
      <c r="C180" s="114"/>
      <c r="D180" s="114"/>
      <c r="E180" s="114"/>
      <c r="F180" s="114"/>
      <c r="G180" s="114"/>
      <c r="H180" s="114"/>
      <c r="I180" s="114"/>
      <c r="J180" s="114"/>
      <c r="K180" s="114"/>
      <c r="L180" s="114"/>
      <c r="M180" s="114"/>
      <c r="N180" s="114"/>
      <c r="O180" s="114"/>
      <c r="P180" s="114"/>
      <c r="Q180" s="114"/>
      <c r="R180" s="114"/>
      <c r="S180" s="114"/>
      <c r="T180" s="114"/>
      <c r="U180" s="114"/>
      <c r="V180" s="114"/>
      <c r="W180" s="114"/>
      <c r="X180" s="114"/>
      <c r="Y180" s="114"/>
      <c r="Z180" s="114"/>
      <c r="AA180" s="114"/>
      <c r="AB180" s="114"/>
      <c r="AC180" s="114"/>
      <c r="AD180" s="114"/>
      <c r="AE180" s="114"/>
      <c r="AF180" s="114"/>
      <c r="AG180" s="114"/>
      <c r="AH180" s="114"/>
      <c r="AI180" s="114"/>
      <c r="AJ180" s="114"/>
      <c r="AK180" s="114"/>
      <c r="AL180" s="114"/>
    </row>
    <row r="181" spans="2:38" ht="15.75" customHeight="1">
      <c r="B181" s="114"/>
      <c r="C181" s="114"/>
      <c r="D181" s="114"/>
      <c r="E181" s="114"/>
      <c r="F181" s="114"/>
      <c r="G181" s="114"/>
      <c r="H181" s="114"/>
      <c r="I181" s="114"/>
      <c r="J181" s="114"/>
      <c r="K181" s="114"/>
      <c r="L181" s="114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4"/>
      <c r="AA181" s="114"/>
      <c r="AB181" s="114"/>
      <c r="AC181" s="114"/>
      <c r="AD181" s="114"/>
      <c r="AE181" s="114"/>
      <c r="AF181" s="114"/>
      <c r="AG181" s="114"/>
      <c r="AH181" s="114"/>
      <c r="AI181" s="114"/>
      <c r="AJ181" s="114"/>
      <c r="AK181" s="114"/>
      <c r="AL181" s="114"/>
    </row>
    <row r="182" spans="2:38" ht="15.75" customHeight="1">
      <c r="B182" s="114"/>
      <c r="C182" s="114"/>
      <c r="D182" s="114"/>
      <c r="E182" s="114"/>
      <c r="F182" s="114"/>
      <c r="G182" s="114"/>
      <c r="H182" s="114"/>
      <c r="I182" s="114"/>
      <c r="J182" s="114"/>
      <c r="K182" s="114"/>
      <c r="L182" s="114"/>
      <c r="M182" s="114"/>
      <c r="N182" s="114"/>
      <c r="O182" s="114"/>
      <c r="P182" s="114"/>
      <c r="Q182" s="114"/>
      <c r="R182" s="114"/>
      <c r="S182" s="114"/>
      <c r="T182" s="114"/>
      <c r="U182" s="114"/>
      <c r="V182" s="114"/>
      <c r="W182" s="114"/>
      <c r="X182" s="114"/>
      <c r="Y182" s="114"/>
      <c r="Z182" s="114"/>
      <c r="AA182" s="114"/>
      <c r="AB182" s="114"/>
      <c r="AC182" s="114"/>
      <c r="AD182" s="114"/>
      <c r="AE182" s="114"/>
      <c r="AF182" s="114"/>
      <c r="AG182" s="114"/>
      <c r="AH182" s="114"/>
      <c r="AI182" s="114"/>
      <c r="AJ182" s="114"/>
      <c r="AK182" s="114"/>
      <c r="AL182" s="114"/>
    </row>
    <row r="183" spans="2:38" ht="15.75" customHeight="1">
      <c r="B183" s="114"/>
      <c r="C183" s="114"/>
      <c r="D183" s="114"/>
      <c r="E183" s="114"/>
      <c r="F183" s="114"/>
      <c r="G183" s="114"/>
      <c r="H183" s="114"/>
      <c r="I183" s="114"/>
      <c r="J183" s="114"/>
      <c r="K183" s="114"/>
      <c r="L183" s="114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4"/>
      <c r="AA183" s="114"/>
      <c r="AB183" s="114"/>
      <c r="AC183" s="114"/>
      <c r="AD183" s="114"/>
      <c r="AE183" s="114"/>
      <c r="AF183" s="114"/>
      <c r="AG183" s="114"/>
      <c r="AH183" s="114"/>
      <c r="AI183" s="114"/>
      <c r="AJ183" s="114"/>
      <c r="AK183" s="114"/>
      <c r="AL183" s="114"/>
    </row>
    <row r="184" spans="2:38" ht="15.75" customHeight="1">
      <c r="B184" s="114"/>
      <c r="C184" s="114"/>
      <c r="D184" s="114"/>
      <c r="E184" s="114"/>
      <c r="F184" s="114"/>
      <c r="G184" s="114"/>
      <c r="H184" s="114"/>
      <c r="I184" s="114"/>
      <c r="J184" s="114"/>
      <c r="K184" s="114"/>
      <c r="L184" s="114"/>
      <c r="M184" s="114"/>
      <c r="N184" s="114"/>
      <c r="O184" s="114"/>
      <c r="P184" s="114"/>
      <c r="Q184" s="114"/>
      <c r="R184" s="114"/>
      <c r="S184" s="114"/>
      <c r="T184" s="114"/>
      <c r="U184" s="114"/>
      <c r="V184" s="114"/>
      <c r="W184" s="114"/>
      <c r="X184" s="114"/>
      <c r="Y184" s="114"/>
      <c r="Z184" s="114"/>
      <c r="AA184" s="114"/>
      <c r="AB184" s="114"/>
      <c r="AC184" s="114"/>
      <c r="AD184" s="114"/>
      <c r="AE184" s="114"/>
      <c r="AF184" s="114"/>
      <c r="AG184" s="114"/>
      <c r="AH184" s="114"/>
      <c r="AI184" s="114"/>
      <c r="AJ184" s="114"/>
      <c r="AK184" s="114"/>
      <c r="AL184" s="114"/>
    </row>
    <row r="185" spans="2:38" ht="15.75" customHeight="1">
      <c r="B185" s="114"/>
      <c r="C185" s="114"/>
      <c r="D185" s="114"/>
      <c r="E185" s="114"/>
      <c r="F185" s="114"/>
      <c r="G185" s="114"/>
      <c r="H185" s="114"/>
      <c r="I185" s="114"/>
      <c r="J185" s="114"/>
      <c r="K185" s="114"/>
      <c r="L185" s="114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4"/>
      <c r="AA185" s="114"/>
      <c r="AB185" s="114"/>
      <c r="AC185" s="114"/>
      <c r="AD185" s="114"/>
      <c r="AE185" s="114"/>
      <c r="AF185" s="114"/>
      <c r="AG185" s="114"/>
      <c r="AH185" s="114"/>
      <c r="AI185" s="114"/>
      <c r="AJ185" s="114"/>
      <c r="AK185" s="114"/>
      <c r="AL185" s="114"/>
    </row>
    <row r="186" spans="2:38" ht="15.75" customHeight="1">
      <c r="B186" s="114"/>
      <c r="C186" s="114"/>
      <c r="D186" s="114"/>
      <c r="E186" s="114"/>
      <c r="F186" s="114"/>
      <c r="G186" s="114"/>
      <c r="H186" s="114"/>
      <c r="I186" s="114"/>
      <c r="J186" s="114"/>
      <c r="K186" s="114"/>
      <c r="L186" s="114"/>
      <c r="M186" s="114"/>
      <c r="N186" s="114"/>
      <c r="O186" s="114"/>
      <c r="P186" s="114"/>
      <c r="Q186" s="114"/>
      <c r="R186" s="114"/>
      <c r="S186" s="114"/>
      <c r="T186" s="114"/>
      <c r="U186" s="114"/>
      <c r="V186" s="114"/>
      <c r="W186" s="114"/>
      <c r="X186" s="114"/>
      <c r="Y186" s="114"/>
      <c r="Z186" s="114"/>
      <c r="AA186" s="114"/>
      <c r="AB186" s="114"/>
      <c r="AC186" s="114"/>
      <c r="AD186" s="114"/>
      <c r="AE186" s="114"/>
      <c r="AF186" s="114"/>
      <c r="AG186" s="114"/>
      <c r="AH186" s="114"/>
      <c r="AI186" s="114"/>
      <c r="AJ186" s="114"/>
      <c r="AK186" s="114"/>
      <c r="AL186" s="114"/>
    </row>
    <row r="187" spans="2:38" ht="15.75" customHeight="1">
      <c r="B187" s="114"/>
      <c r="C187" s="114"/>
      <c r="D187" s="114"/>
      <c r="E187" s="114"/>
      <c r="F187" s="114"/>
      <c r="G187" s="114"/>
      <c r="H187" s="114"/>
      <c r="I187" s="114"/>
      <c r="J187" s="114"/>
      <c r="K187" s="114"/>
      <c r="L187" s="114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4"/>
      <c r="AA187" s="114"/>
      <c r="AB187" s="114"/>
      <c r="AC187" s="114"/>
      <c r="AD187" s="114"/>
      <c r="AE187" s="114"/>
      <c r="AF187" s="114"/>
      <c r="AG187" s="114"/>
      <c r="AH187" s="114"/>
      <c r="AI187" s="114"/>
      <c r="AJ187" s="114"/>
      <c r="AK187" s="114"/>
      <c r="AL187" s="114"/>
    </row>
    <row r="188" spans="2:38" ht="15.75" customHeight="1">
      <c r="B188" s="114"/>
      <c r="C188" s="114"/>
      <c r="D188" s="114"/>
      <c r="E188" s="114"/>
      <c r="F188" s="114"/>
      <c r="G188" s="114"/>
      <c r="H188" s="114"/>
      <c r="I188" s="114"/>
      <c r="J188" s="114"/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14"/>
      <c r="AA188" s="114"/>
      <c r="AB188" s="114"/>
      <c r="AC188" s="114"/>
      <c r="AD188" s="114"/>
      <c r="AE188" s="114"/>
      <c r="AF188" s="114"/>
      <c r="AG188" s="114"/>
      <c r="AH188" s="114"/>
      <c r="AI188" s="114"/>
      <c r="AJ188" s="114"/>
      <c r="AK188" s="114"/>
      <c r="AL188" s="114"/>
    </row>
    <row r="189" spans="2:38" ht="15.75" customHeight="1">
      <c r="B189" s="114"/>
      <c r="C189" s="114"/>
      <c r="D189" s="114"/>
      <c r="E189" s="114"/>
      <c r="F189" s="114"/>
      <c r="G189" s="114"/>
      <c r="H189" s="114"/>
      <c r="I189" s="114"/>
      <c r="J189" s="114"/>
      <c r="K189" s="114"/>
      <c r="L189" s="114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4"/>
      <c r="AA189" s="114"/>
      <c r="AB189" s="114"/>
      <c r="AC189" s="114"/>
      <c r="AD189" s="114"/>
      <c r="AE189" s="114"/>
      <c r="AF189" s="114"/>
      <c r="AG189" s="114"/>
      <c r="AH189" s="114"/>
      <c r="AI189" s="114"/>
      <c r="AJ189" s="114"/>
      <c r="AK189" s="114"/>
      <c r="AL189" s="114"/>
    </row>
    <row r="190" spans="2:38" ht="15.75" customHeight="1">
      <c r="B190" s="114"/>
      <c r="C190" s="114"/>
      <c r="D190" s="114"/>
      <c r="E190" s="114"/>
      <c r="F190" s="114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  <c r="AA190" s="114"/>
      <c r="AB190" s="114"/>
      <c r="AC190" s="114"/>
      <c r="AD190" s="114"/>
      <c r="AE190" s="114"/>
      <c r="AF190" s="114"/>
      <c r="AG190" s="114"/>
      <c r="AH190" s="114"/>
      <c r="AI190" s="114"/>
      <c r="AJ190" s="114"/>
      <c r="AK190" s="114"/>
      <c r="AL190" s="114"/>
    </row>
    <row r="191" spans="2:38" ht="15.75" customHeight="1">
      <c r="B191" s="114"/>
      <c r="C191" s="114"/>
      <c r="D191" s="114"/>
      <c r="E191" s="114"/>
      <c r="F191" s="114"/>
      <c r="G191" s="114"/>
      <c r="H191" s="114"/>
      <c r="I191" s="114"/>
      <c r="J191" s="114"/>
      <c r="K191" s="114"/>
      <c r="L191" s="114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4"/>
      <c r="AA191" s="114"/>
      <c r="AB191" s="114"/>
      <c r="AC191" s="114"/>
      <c r="AD191" s="114"/>
      <c r="AE191" s="114"/>
      <c r="AF191" s="114"/>
      <c r="AG191" s="114"/>
      <c r="AH191" s="114"/>
      <c r="AI191" s="114"/>
      <c r="AJ191" s="114"/>
      <c r="AK191" s="114"/>
      <c r="AL191" s="114"/>
    </row>
    <row r="192" spans="2:38" ht="15.75" customHeight="1">
      <c r="B192" s="114"/>
      <c r="C192" s="114"/>
      <c r="D192" s="114"/>
      <c r="E192" s="114"/>
      <c r="F192" s="114"/>
      <c r="G192" s="114"/>
      <c r="H192" s="114"/>
      <c r="I192" s="114"/>
      <c r="J192" s="114"/>
      <c r="K192" s="114"/>
      <c r="L192" s="114"/>
      <c r="M192" s="114"/>
      <c r="N192" s="114"/>
      <c r="O192" s="114"/>
      <c r="P192" s="114"/>
      <c r="Q192" s="114"/>
      <c r="R192" s="114"/>
      <c r="S192" s="114"/>
      <c r="T192" s="114"/>
      <c r="U192" s="114"/>
      <c r="V192" s="114"/>
      <c r="W192" s="114"/>
      <c r="X192" s="114"/>
      <c r="Y192" s="114"/>
      <c r="Z192" s="114"/>
      <c r="AA192" s="114"/>
      <c r="AB192" s="114"/>
      <c r="AC192" s="114"/>
      <c r="AD192" s="114"/>
      <c r="AE192" s="114"/>
      <c r="AF192" s="114"/>
      <c r="AG192" s="114"/>
      <c r="AH192" s="114"/>
      <c r="AI192" s="114"/>
      <c r="AJ192" s="114"/>
      <c r="AK192" s="114"/>
      <c r="AL192" s="114"/>
    </row>
    <row r="193" spans="2:38" ht="15.75" customHeight="1">
      <c r="B193" s="114"/>
      <c r="C193" s="114"/>
      <c r="D193" s="114"/>
      <c r="E193" s="114"/>
      <c r="F193" s="114"/>
      <c r="G193" s="114"/>
      <c r="H193" s="114"/>
      <c r="I193" s="114"/>
      <c r="J193" s="114"/>
      <c r="K193" s="114"/>
      <c r="L193" s="114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4"/>
      <c r="AA193" s="114"/>
      <c r="AB193" s="114"/>
      <c r="AC193" s="114"/>
      <c r="AD193" s="114"/>
      <c r="AE193" s="114"/>
      <c r="AF193" s="114"/>
      <c r="AG193" s="114"/>
      <c r="AH193" s="114"/>
      <c r="AI193" s="114"/>
      <c r="AJ193" s="114"/>
      <c r="AK193" s="114"/>
      <c r="AL193" s="114"/>
    </row>
    <row r="194" spans="2:38" ht="15.75" customHeight="1">
      <c r="B194" s="114"/>
      <c r="C194" s="114"/>
      <c r="D194" s="114"/>
      <c r="E194" s="114"/>
      <c r="F194" s="114"/>
      <c r="G194" s="114"/>
      <c r="H194" s="114"/>
      <c r="I194" s="114"/>
      <c r="J194" s="114"/>
      <c r="K194" s="114"/>
      <c r="L194" s="114"/>
      <c r="M194" s="114"/>
      <c r="N194" s="114"/>
      <c r="O194" s="114"/>
      <c r="P194" s="114"/>
      <c r="Q194" s="114"/>
      <c r="R194" s="114"/>
      <c r="S194" s="114"/>
      <c r="T194" s="114"/>
      <c r="U194" s="114"/>
      <c r="V194" s="114"/>
      <c r="W194" s="114"/>
      <c r="X194" s="114"/>
      <c r="Y194" s="114"/>
      <c r="Z194" s="114"/>
      <c r="AA194" s="114"/>
      <c r="AB194" s="114"/>
      <c r="AC194" s="114"/>
      <c r="AD194" s="114"/>
      <c r="AE194" s="114"/>
      <c r="AF194" s="114"/>
      <c r="AG194" s="114"/>
      <c r="AH194" s="114"/>
      <c r="AI194" s="114"/>
      <c r="AJ194" s="114"/>
      <c r="AK194" s="114"/>
      <c r="AL194" s="114"/>
    </row>
    <row r="195" spans="2:38" ht="15.75" customHeight="1">
      <c r="B195" s="114"/>
      <c r="C195" s="114"/>
      <c r="D195" s="114"/>
      <c r="E195" s="114"/>
      <c r="F195" s="114"/>
      <c r="G195" s="114"/>
      <c r="H195" s="114"/>
      <c r="I195" s="114"/>
      <c r="J195" s="114"/>
      <c r="K195" s="114"/>
      <c r="L195" s="114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4"/>
      <c r="AA195" s="114"/>
      <c r="AB195" s="114"/>
      <c r="AC195" s="114"/>
      <c r="AD195" s="114"/>
      <c r="AE195" s="114"/>
      <c r="AF195" s="114"/>
      <c r="AG195" s="114"/>
      <c r="AH195" s="114"/>
      <c r="AI195" s="114"/>
      <c r="AJ195" s="114"/>
      <c r="AK195" s="114"/>
      <c r="AL195" s="114"/>
    </row>
    <row r="196" spans="2:38" ht="15.75" customHeight="1">
      <c r="B196" s="114"/>
      <c r="C196" s="114"/>
      <c r="D196" s="114"/>
      <c r="E196" s="114"/>
      <c r="F196" s="114"/>
      <c r="G196" s="114"/>
      <c r="H196" s="114"/>
      <c r="I196" s="114"/>
      <c r="J196" s="114"/>
      <c r="K196" s="114"/>
      <c r="L196" s="114"/>
      <c r="M196" s="114"/>
      <c r="N196" s="114"/>
      <c r="O196" s="114"/>
      <c r="P196" s="114"/>
      <c r="Q196" s="114"/>
      <c r="R196" s="114"/>
      <c r="S196" s="114"/>
      <c r="T196" s="114"/>
      <c r="U196" s="114"/>
      <c r="V196" s="114"/>
      <c r="W196" s="114"/>
      <c r="X196" s="114"/>
      <c r="Y196" s="114"/>
      <c r="Z196" s="114"/>
      <c r="AA196" s="114"/>
      <c r="AB196" s="114"/>
      <c r="AC196" s="114"/>
      <c r="AD196" s="114"/>
      <c r="AE196" s="114"/>
      <c r="AF196" s="114"/>
      <c r="AG196" s="114"/>
      <c r="AH196" s="114"/>
      <c r="AI196" s="114"/>
      <c r="AJ196" s="114"/>
      <c r="AK196" s="114"/>
      <c r="AL196" s="114"/>
    </row>
    <row r="197" spans="2:38" ht="15.75" customHeight="1">
      <c r="B197" s="114"/>
      <c r="C197" s="114"/>
      <c r="D197" s="114"/>
      <c r="E197" s="114"/>
      <c r="F197" s="114"/>
      <c r="G197" s="114"/>
      <c r="H197" s="114"/>
      <c r="I197" s="114"/>
      <c r="J197" s="114"/>
      <c r="K197" s="114"/>
      <c r="L197" s="114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4"/>
      <c r="AA197" s="114"/>
      <c r="AB197" s="114"/>
      <c r="AC197" s="114"/>
      <c r="AD197" s="114"/>
      <c r="AE197" s="114"/>
      <c r="AF197" s="114"/>
      <c r="AG197" s="114"/>
      <c r="AH197" s="114"/>
      <c r="AI197" s="114"/>
      <c r="AJ197" s="114"/>
      <c r="AK197" s="114"/>
      <c r="AL197" s="114"/>
    </row>
    <row r="198" spans="2:38" ht="15.75" customHeight="1">
      <c r="B198" s="114"/>
      <c r="C198" s="114"/>
      <c r="D198" s="114"/>
      <c r="E198" s="114"/>
      <c r="F198" s="114"/>
      <c r="G198" s="114"/>
      <c r="H198" s="114"/>
      <c r="I198" s="114"/>
      <c r="J198" s="114"/>
      <c r="K198" s="114"/>
      <c r="L198" s="114"/>
      <c r="M198" s="114"/>
      <c r="N198" s="114"/>
      <c r="O198" s="114"/>
      <c r="P198" s="114"/>
      <c r="Q198" s="114"/>
      <c r="R198" s="114"/>
      <c r="S198" s="114"/>
      <c r="T198" s="114"/>
      <c r="U198" s="114"/>
      <c r="V198" s="114"/>
      <c r="W198" s="114"/>
      <c r="X198" s="114"/>
      <c r="Y198" s="114"/>
      <c r="Z198" s="114"/>
      <c r="AA198" s="114"/>
      <c r="AB198" s="114"/>
      <c r="AC198" s="114"/>
      <c r="AD198" s="114"/>
      <c r="AE198" s="114"/>
      <c r="AF198" s="114"/>
      <c r="AG198" s="114"/>
      <c r="AH198" s="114"/>
      <c r="AI198" s="114"/>
      <c r="AJ198" s="114"/>
      <c r="AK198" s="114"/>
      <c r="AL198" s="114"/>
    </row>
    <row r="199" spans="2:38" ht="15.75" customHeight="1">
      <c r="B199" s="114"/>
      <c r="C199" s="114"/>
      <c r="D199" s="114"/>
      <c r="E199" s="114"/>
      <c r="F199" s="114"/>
      <c r="G199" s="114"/>
      <c r="H199" s="114"/>
      <c r="I199" s="114"/>
      <c r="J199" s="114"/>
      <c r="K199" s="114"/>
      <c r="L199" s="114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4"/>
      <c r="AA199" s="114"/>
      <c r="AB199" s="114"/>
      <c r="AC199" s="114"/>
      <c r="AD199" s="114"/>
      <c r="AE199" s="114"/>
      <c r="AF199" s="114"/>
      <c r="AG199" s="114"/>
      <c r="AH199" s="114"/>
      <c r="AI199" s="114"/>
      <c r="AJ199" s="114"/>
      <c r="AK199" s="114"/>
      <c r="AL199" s="114"/>
    </row>
    <row r="200" spans="2:38" ht="15.75" customHeight="1">
      <c r="B200" s="114"/>
      <c r="C200" s="114"/>
      <c r="D200" s="114"/>
      <c r="E200" s="114"/>
      <c r="F200" s="114"/>
      <c r="G200" s="114"/>
      <c r="H200" s="114"/>
      <c r="I200" s="114"/>
      <c r="J200" s="114"/>
      <c r="K200" s="114"/>
      <c r="L200" s="114"/>
      <c r="M200" s="114"/>
      <c r="N200" s="114"/>
      <c r="O200" s="114"/>
      <c r="P200" s="114"/>
      <c r="Q200" s="114"/>
      <c r="R200" s="114"/>
      <c r="S200" s="114"/>
      <c r="T200" s="114"/>
      <c r="U200" s="114"/>
      <c r="V200" s="114"/>
      <c r="W200" s="114"/>
      <c r="X200" s="114"/>
      <c r="Y200" s="114"/>
      <c r="Z200" s="114"/>
      <c r="AA200" s="114"/>
      <c r="AB200" s="114"/>
      <c r="AC200" s="114"/>
      <c r="AD200" s="114"/>
      <c r="AE200" s="114"/>
      <c r="AF200" s="114"/>
      <c r="AG200" s="114"/>
      <c r="AH200" s="114"/>
      <c r="AI200" s="114"/>
      <c r="AJ200" s="114"/>
      <c r="AK200" s="114"/>
      <c r="AL200" s="114"/>
    </row>
    <row r="201" spans="2:38" ht="15.75" customHeight="1">
      <c r="B201" s="114"/>
      <c r="C201" s="114"/>
      <c r="D201" s="114"/>
      <c r="E201" s="114"/>
      <c r="F201" s="114"/>
      <c r="G201" s="114"/>
      <c r="H201" s="114"/>
      <c r="I201" s="114"/>
      <c r="J201" s="114"/>
      <c r="K201" s="114"/>
      <c r="L201" s="114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4"/>
      <c r="AA201" s="114"/>
      <c r="AB201" s="114"/>
      <c r="AC201" s="114"/>
      <c r="AD201" s="114"/>
      <c r="AE201" s="114"/>
      <c r="AF201" s="114"/>
      <c r="AG201" s="114"/>
      <c r="AH201" s="114"/>
      <c r="AI201" s="114"/>
      <c r="AJ201" s="114"/>
      <c r="AK201" s="114"/>
      <c r="AL201" s="114"/>
    </row>
    <row r="202" spans="2:38" ht="15.75" customHeight="1">
      <c r="B202" s="114"/>
      <c r="C202" s="114"/>
      <c r="D202" s="114"/>
      <c r="E202" s="114"/>
      <c r="F202" s="114"/>
      <c r="G202" s="114"/>
      <c r="H202" s="114"/>
      <c r="I202" s="114"/>
      <c r="J202" s="114"/>
      <c r="K202" s="114"/>
      <c r="L202" s="114"/>
      <c r="M202" s="114"/>
      <c r="N202" s="114"/>
      <c r="O202" s="114"/>
      <c r="P202" s="114"/>
      <c r="Q202" s="114"/>
      <c r="R202" s="114"/>
      <c r="S202" s="114"/>
      <c r="T202" s="114"/>
      <c r="U202" s="114"/>
      <c r="V202" s="114"/>
      <c r="W202" s="114"/>
      <c r="X202" s="114"/>
      <c r="Y202" s="114"/>
      <c r="Z202" s="114"/>
      <c r="AA202" s="114"/>
      <c r="AB202" s="114"/>
      <c r="AC202" s="114"/>
      <c r="AD202" s="114"/>
      <c r="AE202" s="114"/>
      <c r="AF202" s="114"/>
      <c r="AG202" s="114"/>
      <c r="AH202" s="114"/>
      <c r="AI202" s="114"/>
      <c r="AJ202" s="114"/>
      <c r="AK202" s="114"/>
      <c r="AL202" s="114"/>
    </row>
    <row r="203" spans="2:38" ht="15.75" customHeight="1">
      <c r="B203" s="114"/>
      <c r="C203" s="114"/>
      <c r="D203" s="114"/>
      <c r="E203" s="114"/>
      <c r="F203" s="114"/>
      <c r="G203" s="114"/>
      <c r="H203" s="114"/>
      <c r="I203" s="114"/>
      <c r="J203" s="114"/>
      <c r="K203" s="114"/>
      <c r="L203" s="114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4"/>
      <c r="AA203" s="114"/>
      <c r="AB203" s="114"/>
      <c r="AC203" s="114"/>
      <c r="AD203" s="114"/>
      <c r="AE203" s="114"/>
      <c r="AF203" s="114"/>
      <c r="AG203" s="114"/>
      <c r="AH203" s="114"/>
      <c r="AI203" s="114"/>
      <c r="AJ203" s="114"/>
      <c r="AK203" s="114"/>
      <c r="AL203" s="114"/>
    </row>
    <row r="204" spans="2:38" ht="15.75" customHeight="1">
      <c r="B204" s="114"/>
      <c r="C204" s="114"/>
      <c r="D204" s="114"/>
      <c r="E204" s="114"/>
      <c r="F204" s="114"/>
      <c r="G204" s="114"/>
      <c r="H204" s="114"/>
      <c r="I204" s="114"/>
      <c r="J204" s="114"/>
      <c r="K204" s="114"/>
      <c r="L204" s="114"/>
      <c r="M204" s="114"/>
      <c r="N204" s="114"/>
      <c r="O204" s="114"/>
      <c r="P204" s="114"/>
      <c r="Q204" s="114"/>
      <c r="R204" s="114"/>
      <c r="S204" s="114"/>
      <c r="T204" s="114"/>
      <c r="U204" s="114"/>
      <c r="V204" s="114"/>
      <c r="W204" s="114"/>
      <c r="X204" s="114"/>
      <c r="Y204" s="114"/>
      <c r="Z204" s="114"/>
      <c r="AA204" s="114"/>
      <c r="AB204" s="114"/>
      <c r="AC204" s="114"/>
      <c r="AD204" s="114"/>
      <c r="AE204" s="114"/>
      <c r="AF204" s="114"/>
      <c r="AG204" s="114"/>
      <c r="AH204" s="114"/>
      <c r="AI204" s="114"/>
      <c r="AJ204" s="114"/>
      <c r="AK204" s="114"/>
      <c r="AL204" s="114"/>
    </row>
    <row r="205" spans="2:38" ht="15.75" customHeight="1">
      <c r="B205" s="114"/>
      <c r="C205" s="114"/>
      <c r="D205" s="114"/>
      <c r="E205" s="114"/>
      <c r="F205" s="114"/>
      <c r="G205" s="114"/>
      <c r="H205" s="114"/>
      <c r="I205" s="114"/>
      <c r="J205" s="114"/>
      <c r="K205" s="114"/>
      <c r="L205" s="114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4"/>
      <c r="AA205" s="114"/>
      <c r="AB205" s="114"/>
      <c r="AC205" s="114"/>
      <c r="AD205" s="114"/>
      <c r="AE205" s="114"/>
      <c r="AF205" s="114"/>
      <c r="AG205" s="114"/>
      <c r="AH205" s="114"/>
      <c r="AI205" s="114"/>
      <c r="AJ205" s="114"/>
      <c r="AK205" s="114"/>
      <c r="AL205" s="114"/>
    </row>
    <row r="206" spans="2:38" ht="15.75" customHeight="1">
      <c r="B206" s="114"/>
      <c r="C206" s="114"/>
      <c r="D206" s="114"/>
      <c r="E206" s="114"/>
      <c r="F206" s="114"/>
      <c r="G206" s="114"/>
      <c r="H206" s="114"/>
      <c r="I206" s="114"/>
      <c r="J206" s="114"/>
      <c r="K206" s="114"/>
      <c r="L206" s="114"/>
      <c r="M206" s="114"/>
      <c r="N206" s="114"/>
      <c r="O206" s="114"/>
      <c r="P206" s="114"/>
      <c r="Q206" s="114"/>
      <c r="R206" s="114"/>
      <c r="S206" s="114"/>
      <c r="T206" s="114"/>
      <c r="U206" s="114"/>
      <c r="V206" s="114"/>
      <c r="W206" s="114"/>
      <c r="X206" s="114"/>
      <c r="Y206" s="114"/>
      <c r="Z206" s="114"/>
      <c r="AA206" s="114"/>
      <c r="AB206" s="114"/>
      <c r="AC206" s="114"/>
      <c r="AD206" s="114"/>
      <c r="AE206" s="114"/>
      <c r="AF206" s="114"/>
      <c r="AG206" s="114"/>
      <c r="AH206" s="114"/>
      <c r="AI206" s="114"/>
      <c r="AJ206" s="114"/>
      <c r="AK206" s="114"/>
      <c r="AL206" s="114"/>
    </row>
    <row r="207" spans="2:38" ht="15.75" customHeight="1">
      <c r="B207" s="114"/>
      <c r="C207" s="114"/>
      <c r="D207" s="114"/>
      <c r="E207" s="114"/>
      <c r="F207" s="114"/>
      <c r="G207" s="114"/>
      <c r="H207" s="114"/>
      <c r="I207" s="114"/>
      <c r="J207" s="114"/>
      <c r="K207" s="114"/>
      <c r="L207" s="114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4"/>
      <c r="AA207" s="114"/>
      <c r="AB207" s="114"/>
      <c r="AC207" s="114"/>
      <c r="AD207" s="114"/>
      <c r="AE207" s="114"/>
      <c r="AF207" s="114"/>
      <c r="AG207" s="114"/>
      <c r="AH207" s="114"/>
      <c r="AI207" s="114"/>
      <c r="AJ207" s="114"/>
      <c r="AK207" s="114"/>
      <c r="AL207" s="114"/>
    </row>
    <row r="208" spans="2:38" ht="15.75" customHeight="1">
      <c r="B208" s="114"/>
      <c r="C208" s="114"/>
      <c r="D208" s="114"/>
      <c r="E208" s="114"/>
      <c r="F208" s="114"/>
      <c r="G208" s="114"/>
      <c r="H208" s="114"/>
      <c r="I208" s="114"/>
      <c r="J208" s="114"/>
      <c r="K208" s="114"/>
      <c r="L208" s="114"/>
      <c r="M208" s="114"/>
      <c r="N208" s="114"/>
      <c r="O208" s="114"/>
      <c r="P208" s="114"/>
      <c r="Q208" s="114"/>
      <c r="R208" s="114"/>
      <c r="S208" s="114"/>
      <c r="T208" s="114"/>
      <c r="U208" s="114"/>
      <c r="V208" s="114"/>
      <c r="W208" s="114"/>
      <c r="X208" s="114"/>
      <c r="Y208" s="114"/>
      <c r="Z208" s="114"/>
      <c r="AA208" s="114"/>
      <c r="AB208" s="114"/>
      <c r="AC208" s="114"/>
      <c r="AD208" s="114"/>
      <c r="AE208" s="114"/>
      <c r="AF208" s="114"/>
      <c r="AG208" s="114"/>
      <c r="AH208" s="114"/>
      <c r="AI208" s="114"/>
      <c r="AJ208" s="114"/>
      <c r="AK208" s="114"/>
      <c r="AL208" s="114"/>
    </row>
    <row r="209" spans="2:38" ht="15.75" customHeight="1">
      <c r="B209" s="114"/>
      <c r="C209" s="114"/>
      <c r="D209" s="114"/>
      <c r="E209" s="114"/>
      <c r="F209" s="114"/>
      <c r="G209" s="114"/>
      <c r="H209" s="114"/>
      <c r="I209" s="114"/>
      <c r="J209" s="114"/>
      <c r="K209" s="114"/>
      <c r="L209" s="114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4"/>
      <c r="AA209" s="114"/>
      <c r="AB209" s="114"/>
      <c r="AC209" s="114"/>
      <c r="AD209" s="114"/>
      <c r="AE209" s="114"/>
      <c r="AF209" s="114"/>
      <c r="AG209" s="114"/>
      <c r="AH209" s="114"/>
      <c r="AI209" s="114"/>
      <c r="AJ209" s="114"/>
      <c r="AK209" s="114"/>
      <c r="AL209" s="114"/>
    </row>
    <row r="210" spans="2:38" ht="15.75" customHeight="1">
      <c r="B210" s="114"/>
      <c r="C210" s="114"/>
      <c r="D210" s="114"/>
      <c r="E210" s="114"/>
      <c r="F210" s="114"/>
      <c r="G210" s="114"/>
      <c r="H210" s="114"/>
      <c r="I210" s="114"/>
      <c r="J210" s="114"/>
      <c r="K210" s="114"/>
      <c r="L210" s="114"/>
      <c r="M210" s="114"/>
      <c r="N210" s="114"/>
      <c r="O210" s="114"/>
      <c r="P210" s="114"/>
      <c r="Q210" s="114"/>
      <c r="R210" s="114"/>
      <c r="S210" s="114"/>
      <c r="T210" s="114"/>
      <c r="U210" s="114"/>
      <c r="V210" s="114"/>
      <c r="W210" s="114"/>
      <c r="X210" s="114"/>
      <c r="Y210" s="114"/>
      <c r="Z210" s="114"/>
      <c r="AA210" s="114"/>
      <c r="AB210" s="114"/>
      <c r="AC210" s="114"/>
      <c r="AD210" s="114"/>
      <c r="AE210" s="114"/>
      <c r="AF210" s="114"/>
      <c r="AG210" s="114"/>
      <c r="AH210" s="114"/>
      <c r="AI210" s="114"/>
      <c r="AJ210" s="114"/>
      <c r="AK210" s="114"/>
      <c r="AL210" s="114"/>
    </row>
    <row r="211" spans="2:38" ht="15.75" customHeight="1">
      <c r="B211" s="114"/>
      <c r="C211" s="114"/>
      <c r="D211" s="114"/>
      <c r="E211" s="114"/>
      <c r="F211" s="114"/>
      <c r="G211" s="114"/>
      <c r="H211" s="114"/>
      <c r="I211" s="114"/>
      <c r="J211" s="114"/>
      <c r="K211" s="114"/>
      <c r="L211" s="114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4"/>
      <c r="AA211" s="114"/>
      <c r="AB211" s="114"/>
      <c r="AC211" s="114"/>
      <c r="AD211" s="114"/>
      <c r="AE211" s="114"/>
      <c r="AF211" s="114"/>
      <c r="AG211" s="114"/>
      <c r="AH211" s="114"/>
      <c r="AI211" s="114"/>
      <c r="AJ211" s="114"/>
      <c r="AK211" s="114"/>
      <c r="AL211" s="114"/>
    </row>
    <row r="212" spans="2:38" ht="15.75" customHeight="1">
      <c r="B212" s="114"/>
      <c r="C212" s="114"/>
      <c r="D212" s="114"/>
      <c r="E212" s="114"/>
      <c r="F212" s="114"/>
      <c r="G212" s="114"/>
      <c r="H212" s="114"/>
      <c r="I212" s="114"/>
      <c r="J212" s="114"/>
      <c r="K212" s="114"/>
      <c r="L212" s="114"/>
      <c r="M212" s="114"/>
      <c r="N212" s="114"/>
      <c r="O212" s="114"/>
      <c r="P212" s="114"/>
      <c r="Q212" s="114"/>
      <c r="R212" s="114"/>
      <c r="S212" s="114"/>
      <c r="T212" s="114"/>
      <c r="U212" s="114"/>
      <c r="V212" s="114"/>
      <c r="W212" s="114"/>
      <c r="X212" s="114"/>
      <c r="Y212" s="114"/>
      <c r="Z212" s="114"/>
      <c r="AA212" s="114"/>
      <c r="AB212" s="114"/>
      <c r="AC212" s="114"/>
      <c r="AD212" s="114"/>
      <c r="AE212" s="114"/>
      <c r="AF212" s="114"/>
      <c r="AG212" s="114"/>
      <c r="AH212" s="114"/>
      <c r="AI212" s="114"/>
      <c r="AJ212" s="114"/>
      <c r="AK212" s="114"/>
      <c r="AL212" s="114"/>
    </row>
    <row r="213" spans="2:38" ht="15.75" customHeight="1">
      <c r="B213" s="114"/>
      <c r="C213" s="114"/>
      <c r="D213" s="114"/>
      <c r="E213" s="114"/>
      <c r="F213" s="114"/>
      <c r="G213" s="114"/>
      <c r="H213" s="114"/>
      <c r="I213" s="114"/>
      <c r="J213" s="114"/>
      <c r="K213" s="114"/>
      <c r="L213" s="114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4"/>
      <c r="AA213" s="114"/>
      <c r="AB213" s="114"/>
      <c r="AC213" s="114"/>
      <c r="AD213" s="114"/>
      <c r="AE213" s="114"/>
      <c r="AF213" s="114"/>
      <c r="AG213" s="114"/>
      <c r="AH213" s="114"/>
      <c r="AI213" s="114"/>
      <c r="AJ213" s="114"/>
      <c r="AK213" s="114"/>
      <c r="AL213" s="114"/>
    </row>
    <row r="214" spans="2:38" ht="15.75" customHeight="1">
      <c r="B214" s="114"/>
      <c r="C214" s="114"/>
      <c r="D214" s="114"/>
      <c r="E214" s="114"/>
      <c r="F214" s="114"/>
      <c r="G214" s="114"/>
      <c r="H214" s="114"/>
      <c r="I214" s="114"/>
      <c r="J214" s="114"/>
      <c r="K214" s="114"/>
      <c r="L214" s="114"/>
      <c r="M214" s="114"/>
      <c r="N214" s="114"/>
      <c r="O214" s="114"/>
      <c r="P214" s="114"/>
      <c r="Q214" s="114"/>
      <c r="R214" s="114"/>
      <c r="S214" s="114"/>
      <c r="T214" s="114"/>
      <c r="U214" s="114"/>
      <c r="V214" s="114"/>
      <c r="W214" s="114"/>
      <c r="X214" s="114"/>
      <c r="Y214" s="114"/>
      <c r="Z214" s="114"/>
      <c r="AA214" s="114"/>
      <c r="AB214" s="114"/>
      <c r="AC214" s="114"/>
      <c r="AD214" s="114"/>
      <c r="AE214" s="114"/>
      <c r="AF214" s="114"/>
      <c r="AG214" s="114"/>
      <c r="AH214" s="114"/>
      <c r="AI214" s="114"/>
      <c r="AJ214" s="114"/>
      <c r="AK214" s="114"/>
      <c r="AL214" s="114"/>
    </row>
    <row r="215" spans="2:38" ht="15.75" customHeight="1">
      <c r="B215" s="114"/>
      <c r="C215" s="114"/>
      <c r="D215" s="114"/>
      <c r="E215" s="114"/>
      <c r="F215" s="114"/>
      <c r="G215" s="114"/>
      <c r="H215" s="114"/>
      <c r="I215" s="114"/>
      <c r="J215" s="114"/>
      <c r="K215" s="114"/>
      <c r="L215" s="114"/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4"/>
      <c r="AA215" s="114"/>
      <c r="AB215" s="114"/>
      <c r="AC215" s="114"/>
      <c r="AD215" s="114"/>
      <c r="AE215" s="114"/>
      <c r="AF215" s="114"/>
      <c r="AG215" s="114"/>
      <c r="AH215" s="114"/>
      <c r="AI215" s="114"/>
      <c r="AJ215" s="114"/>
      <c r="AK215" s="114"/>
      <c r="AL215" s="114"/>
    </row>
    <row r="216" spans="2:38" ht="15.75" customHeight="1"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4"/>
      <c r="N216" s="114"/>
      <c r="O216" s="114"/>
      <c r="P216" s="114"/>
      <c r="Q216" s="114"/>
      <c r="R216" s="114"/>
      <c r="S216" s="114"/>
      <c r="T216" s="114"/>
      <c r="U216" s="114"/>
      <c r="V216" s="114"/>
      <c r="W216" s="114"/>
      <c r="X216" s="114"/>
      <c r="Y216" s="114"/>
      <c r="Z216" s="114"/>
      <c r="AA216" s="114"/>
      <c r="AB216" s="114"/>
      <c r="AC216" s="114"/>
      <c r="AD216" s="114"/>
      <c r="AE216" s="114"/>
      <c r="AF216" s="114"/>
      <c r="AG216" s="114"/>
      <c r="AH216" s="114"/>
      <c r="AI216" s="114"/>
      <c r="AJ216" s="114"/>
      <c r="AK216" s="114"/>
      <c r="AL216" s="114"/>
    </row>
    <row r="217" spans="2:38" ht="15.75" customHeight="1">
      <c r="B217" s="114"/>
      <c r="C217" s="114"/>
      <c r="D217" s="114"/>
      <c r="E217" s="114"/>
      <c r="F217" s="114"/>
      <c r="G217" s="114"/>
      <c r="H217" s="114"/>
      <c r="I217" s="114"/>
      <c r="J217" s="114"/>
      <c r="K217" s="114"/>
      <c r="L217" s="114"/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4"/>
      <c r="AA217" s="114"/>
      <c r="AB217" s="114"/>
      <c r="AC217" s="114"/>
      <c r="AD217" s="114"/>
      <c r="AE217" s="114"/>
      <c r="AF217" s="114"/>
      <c r="AG217" s="114"/>
      <c r="AH217" s="114"/>
      <c r="AI217" s="114"/>
      <c r="AJ217" s="114"/>
      <c r="AK217" s="114"/>
      <c r="AL217" s="114"/>
    </row>
    <row r="218" spans="2:38" ht="15.75" customHeight="1">
      <c r="B218" s="114"/>
      <c r="C218" s="114"/>
      <c r="D218" s="114"/>
      <c r="E218" s="114"/>
      <c r="F218" s="114"/>
      <c r="G218" s="114"/>
      <c r="H218" s="114"/>
      <c r="I218" s="114"/>
      <c r="J218" s="114"/>
      <c r="K218" s="114"/>
      <c r="L218" s="114"/>
      <c r="M218" s="114"/>
      <c r="N218" s="114"/>
      <c r="O218" s="114"/>
      <c r="P218" s="114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  <c r="AA218" s="114"/>
      <c r="AB218" s="114"/>
      <c r="AC218" s="114"/>
      <c r="AD218" s="114"/>
      <c r="AE218" s="114"/>
      <c r="AF218" s="114"/>
      <c r="AG218" s="114"/>
      <c r="AH218" s="114"/>
      <c r="AI218" s="114"/>
      <c r="AJ218" s="114"/>
      <c r="AK218" s="114"/>
      <c r="AL218" s="114"/>
    </row>
    <row r="219" spans="2:38" ht="15.75" customHeight="1">
      <c r="B219" s="114"/>
      <c r="C219" s="114"/>
      <c r="D219" s="114"/>
      <c r="E219" s="114"/>
      <c r="F219" s="114"/>
      <c r="G219" s="114"/>
      <c r="H219" s="114"/>
      <c r="I219" s="114"/>
      <c r="J219" s="114"/>
      <c r="K219" s="114"/>
      <c r="L219" s="114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4"/>
      <c r="AA219" s="114"/>
      <c r="AB219" s="114"/>
      <c r="AC219" s="114"/>
      <c r="AD219" s="114"/>
      <c r="AE219" s="114"/>
      <c r="AF219" s="114"/>
      <c r="AG219" s="114"/>
      <c r="AH219" s="114"/>
      <c r="AI219" s="114"/>
      <c r="AJ219" s="114"/>
      <c r="AK219" s="114"/>
      <c r="AL219" s="114"/>
    </row>
    <row r="220" spans="2:38" ht="15.75" customHeight="1">
      <c r="B220" s="114"/>
      <c r="C220" s="114"/>
      <c r="D220" s="114"/>
      <c r="E220" s="114"/>
      <c r="F220" s="114"/>
      <c r="G220" s="114"/>
      <c r="H220" s="114"/>
      <c r="I220" s="114"/>
      <c r="J220" s="114"/>
      <c r="K220" s="114"/>
      <c r="L220" s="114"/>
      <c r="M220" s="114"/>
      <c r="N220" s="114"/>
      <c r="O220" s="114"/>
      <c r="P220" s="114"/>
      <c r="Q220" s="114"/>
      <c r="R220" s="114"/>
      <c r="S220" s="114"/>
      <c r="T220" s="114"/>
      <c r="U220" s="114"/>
      <c r="V220" s="114"/>
      <c r="W220" s="114"/>
      <c r="X220" s="114"/>
      <c r="Y220" s="114"/>
      <c r="Z220" s="114"/>
      <c r="AA220" s="114"/>
      <c r="AB220" s="114"/>
      <c r="AC220" s="114"/>
      <c r="AD220" s="114"/>
      <c r="AE220" s="114"/>
      <c r="AF220" s="114"/>
      <c r="AG220" s="114"/>
      <c r="AH220" s="114"/>
      <c r="AI220" s="114"/>
      <c r="AJ220" s="114"/>
      <c r="AK220" s="114"/>
      <c r="AL220" s="114"/>
    </row>
    <row r="221" spans="2:38" ht="15.75" customHeight="1">
      <c r="B221" s="114"/>
      <c r="C221" s="114"/>
      <c r="D221" s="114"/>
      <c r="E221" s="114"/>
      <c r="F221" s="114"/>
      <c r="G221" s="114"/>
      <c r="H221" s="114"/>
      <c r="I221" s="114"/>
      <c r="J221" s="114"/>
      <c r="K221" s="114"/>
      <c r="L221" s="114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4"/>
      <c r="AA221" s="114"/>
      <c r="AB221" s="114"/>
      <c r="AC221" s="114"/>
      <c r="AD221" s="114"/>
      <c r="AE221" s="114"/>
      <c r="AF221" s="114"/>
      <c r="AG221" s="114"/>
      <c r="AH221" s="114"/>
      <c r="AI221" s="114"/>
      <c r="AJ221" s="114"/>
      <c r="AK221" s="114"/>
      <c r="AL221" s="114"/>
    </row>
    <row r="222" spans="2:38" ht="15.75" customHeight="1">
      <c r="B222" s="114"/>
      <c r="C222" s="114"/>
      <c r="D222" s="114"/>
      <c r="E222" s="114"/>
      <c r="F222" s="114"/>
      <c r="G222" s="114"/>
      <c r="H222" s="114"/>
      <c r="I222" s="114"/>
      <c r="J222" s="114"/>
      <c r="K222" s="114"/>
      <c r="L222" s="114"/>
      <c r="M222" s="114"/>
      <c r="N222" s="114"/>
      <c r="O222" s="114"/>
      <c r="P222" s="114"/>
      <c r="Q222" s="114"/>
      <c r="R222" s="114"/>
      <c r="S222" s="114"/>
      <c r="T222" s="114"/>
      <c r="U222" s="114"/>
      <c r="V222" s="114"/>
      <c r="W222" s="114"/>
      <c r="X222" s="114"/>
      <c r="Y222" s="114"/>
      <c r="Z222" s="114"/>
      <c r="AA222" s="114"/>
      <c r="AB222" s="114"/>
      <c r="AC222" s="114"/>
      <c r="AD222" s="114"/>
      <c r="AE222" s="114"/>
      <c r="AF222" s="114"/>
      <c r="AG222" s="114"/>
      <c r="AH222" s="114"/>
      <c r="AI222" s="114"/>
      <c r="AJ222" s="114"/>
      <c r="AK222" s="114"/>
      <c r="AL222" s="114"/>
    </row>
    <row r="223" spans="2:38" ht="15.75" customHeight="1">
      <c r="B223" s="114"/>
      <c r="C223" s="114"/>
      <c r="D223" s="114"/>
      <c r="E223" s="114"/>
      <c r="F223" s="114"/>
      <c r="G223" s="114"/>
      <c r="H223" s="114"/>
      <c r="I223" s="114"/>
      <c r="J223" s="114"/>
      <c r="K223" s="114"/>
      <c r="L223" s="114"/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4"/>
      <c r="AA223" s="114"/>
      <c r="AB223" s="114"/>
      <c r="AC223" s="114"/>
      <c r="AD223" s="114"/>
      <c r="AE223" s="114"/>
      <c r="AF223" s="114"/>
      <c r="AG223" s="114"/>
      <c r="AH223" s="114"/>
      <c r="AI223" s="114"/>
      <c r="AJ223" s="114"/>
      <c r="AK223" s="114"/>
      <c r="AL223" s="114"/>
    </row>
    <row r="224" spans="2:38" ht="15.75" customHeight="1">
      <c r="B224" s="114"/>
      <c r="C224" s="114"/>
      <c r="D224" s="114"/>
      <c r="E224" s="114"/>
      <c r="F224" s="114"/>
      <c r="G224" s="114"/>
      <c r="H224" s="114"/>
      <c r="I224" s="114"/>
      <c r="J224" s="114"/>
      <c r="K224" s="114"/>
      <c r="L224" s="114"/>
      <c r="M224" s="114"/>
      <c r="N224" s="114"/>
      <c r="O224" s="114"/>
      <c r="P224" s="114"/>
      <c r="Q224" s="114"/>
      <c r="R224" s="114"/>
      <c r="S224" s="114"/>
      <c r="T224" s="114"/>
      <c r="U224" s="114"/>
      <c r="V224" s="114"/>
      <c r="W224" s="114"/>
      <c r="X224" s="114"/>
      <c r="Y224" s="114"/>
      <c r="Z224" s="114"/>
      <c r="AA224" s="114"/>
      <c r="AB224" s="114"/>
      <c r="AC224" s="114"/>
      <c r="AD224" s="114"/>
      <c r="AE224" s="114"/>
      <c r="AF224" s="114"/>
      <c r="AG224" s="114"/>
      <c r="AH224" s="114"/>
      <c r="AI224" s="114"/>
      <c r="AJ224" s="114"/>
      <c r="AK224" s="114"/>
      <c r="AL224" s="114"/>
    </row>
    <row r="225" spans="2:38" ht="15.75" customHeight="1">
      <c r="B225" s="114"/>
      <c r="C225" s="114"/>
      <c r="D225" s="114"/>
      <c r="E225" s="114"/>
      <c r="F225" s="114"/>
      <c r="G225" s="114"/>
      <c r="H225" s="114"/>
      <c r="I225" s="114"/>
      <c r="J225" s="114"/>
      <c r="K225" s="114"/>
      <c r="L225" s="114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4"/>
      <c r="AA225" s="114"/>
      <c r="AB225" s="114"/>
      <c r="AC225" s="114"/>
      <c r="AD225" s="114"/>
      <c r="AE225" s="114"/>
      <c r="AF225" s="114"/>
      <c r="AG225" s="114"/>
      <c r="AH225" s="114"/>
      <c r="AI225" s="114"/>
      <c r="AJ225" s="114"/>
      <c r="AK225" s="114"/>
      <c r="AL225" s="114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1">
    <mergeCell ref="B29:C30"/>
    <mergeCell ref="D27:D28"/>
    <mergeCell ref="D18:D19"/>
    <mergeCell ref="E18:E19"/>
    <mergeCell ref="C14:C15"/>
    <mergeCell ref="H23:I24"/>
    <mergeCell ref="E23:F26"/>
    <mergeCell ref="B25:C26"/>
    <mergeCell ref="D25:D26"/>
    <mergeCell ref="E27:F32"/>
    <mergeCell ref="B27:C28"/>
    <mergeCell ref="B31:C32"/>
    <mergeCell ref="D31:D32"/>
    <mergeCell ref="D23:D24"/>
    <mergeCell ref="H22:I22"/>
    <mergeCell ref="D29:D30"/>
    <mergeCell ref="Q27:Q28"/>
    <mergeCell ref="Q35:Q36"/>
    <mergeCell ref="Q31:Q32"/>
    <mergeCell ref="Q33:Q34"/>
    <mergeCell ref="R29:S30"/>
    <mergeCell ref="J25:J26"/>
    <mergeCell ref="H27:I28"/>
    <mergeCell ref="H29:I30"/>
    <mergeCell ref="J29:J30"/>
    <mergeCell ref="H25:I26"/>
    <mergeCell ref="K22:L22"/>
    <mergeCell ref="R27:S28"/>
    <mergeCell ref="R23:S24"/>
    <mergeCell ref="U14:U15"/>
    <mergeCell ref="U18:U19"/>
    <mergeCell ref="J18:J19"/>
    <mergeCell ref="L14:L15"/>
    <mergeCell ref="L18:L19"/>
    <mergeCell ref="R25:S26"/>
    <mergeCell ref="N23:P24"/>
    <mergeCell ref="K18:K19"/>
    <mergeCell ref="H20:K20"/>
    <mergeCell ref="K27:L32"/>
    <mergeCell ref="J23:J24"/>
    <mergeCell ref="T27:W36"/>
    <mergeCell ref="N31:P32"/>
    <mergeCell ref="N33:P34"/>
    <mergeCell ref="H31:I32"/>
    <mergeCell ref="J31:J32"/>
    <mergeCell ref="R35:S36"/>
    <mergeCell ref="R31:S32"/>
    <mergeCell ref="R33:S34"/>
    <mergeCell ref="Q25:Q26"/>
    <mergeCell ref="Q29:Q30"/>
    <mergeCell ref="W14:W15"/>
    <mergeCell ref="V14:V15"/>
    <mergeCell ref="J27:J28"/>
    <mergeCell ref="B23:C24"/>
    <mergeCell ref="Q23:Q24"/>
    <mergeCell ref="N27:P28"/>
    <mergeCell ref="N25:P26"/>
    <mergeCell ref="K23:L26"/>
    <mergeCell ref="S16:S17"/>
    <mergeCell ref="N16:N17"/>
    <mergeCell ref="D14:D15"/>
    <mergeCell ref="F18:F19"/>
    <mergeCell ref="E22:F22"/>
    <mergeCell ref="R14:R15"/>
    <mergeCell ref="O14:O15"/>
    <mergeCell ref="P14:P15"/>
    <mergeCell ref="Q14:Q15"/>
    <mergeCell ref="R18:R19"/>
    <mergeCell ref="N14:N15"/>
    <mergeCell ref="R22:S22"/>
    <mergeCell ref="N20:V20"/>
    <mergeCell ref="N22:P22"/>
    <mergeCell ref="R16:R17"/>
    <mergeCell ref="U16:U17"/>
    <mergeCell ref="L12:L13"/>
    <mergeCell ref="H12:H13"/>
    <mergeCell ref="H14:H15"/>
    <mergeCell ref="I14:I15"/>
    <mergeCell ref="N35:P36"/>
    <mergeCell ref="Q10:Q11"/>
    <mergeCell ref="AE20:AF20"/>
    <mergeCell ref="AE23:AG24"/>
    <mergeCell ref="AE25:AG26"/>
    <mergeCell ref="AE27:AG28"/>
    <mergeCell ref="AE29:AG30"/>
    <mergeCell ref="AE31:AG32"/>
    <mergeCell ref="AE33:AG34"/>
    <mergeCell ref="AE35:AG36"/>
    <mergeCell ref="V16:V17"/>
    <mergeCell ref="T16:T17"/>
    <mergeCell ref="T22:W22"/>
    <mergeCell ref="T23:W26"/>
    <mergeCell ref="P16:P17"/>
    <mergeCell ref="Q16:Q17"/>
    <mergeCell ref="AE12:AF13"/>
    <mergeCell ref="AE14:AF15"/>
    <mergeCell ref="AG14:AG15"/>
    <mergeCell ref="W16:W17"/>
    <mergeCell ref="K10:K11"/>
    <mergeCell ref="P3:AA3"/>
    <mergeCell ref="N6:O6"/>
    <mergeCell ref="Q6:R6"/>
    <mergeCell ref="B6:C6"/>
    <mergeCell ref="D6:E6"/>
    <mergeCell ref="H6:I6"/>
    <mergeCell ref="J6:K6"/>
    <mergeCell ref="B3:O3"/>
    <mergeCell ref="B10:B11"/>
    <mergeCell ref="C10:C11"/>
    <mergeCell ref="B8:F8"/>
    <mergeCell ref="H8:L8"/>
    <mergeCell ref="I10:I11"/>
    <mergeCell ref="J10:J11"/>
    <mergeCell ref="L10:L11"/>
    <mergeCell ref="D10:D11"/>
    <mergeCell ref="E10:E11"/>
    <mergeCell ref="F10:F11"/>
    <mergeCell ref="H10:H11"/>
    <mergeCell ref="Z10:Z11"/>
    <mergeCell ref="AA10:AA11"/>
    <mergeCell ref="AB6:AC6"/>
    <mergeCell ref="T10:T11"/>
    <mergeCell ref="S12:S13"/>
    <mergeCell ref="T12:T13"/>
    <mergeCell ref="N8:W8"/>
    <mergeCell ref="AE8:AG8"/>
    <mergeCell ref="AE9:AF9"/>
    <mergeCell ref="AE10:AF11"/>
    <mergeCell ref="AG10:AG11"/>
    <mergeCell ref="AG12:AG13"/>
    <mergeCell ref="N10:N11"/>
    <mergeCell ref="O10:O11"/>
    <mergeCell ref="P10:P11"/>
    <mergeCell ref="S10:S11"/>
    <mergeCell ref="R10:R11"/>
    <mergeCell ref="R12:R13"/>
    <mergeCell ref="P12:P13"/>
    <mergeCell ref="Q12:Q13"/>
    <mergeCell ref="O12:O13"/>
    <mergeCell ref="U10:U11"/>
    <mergeCell ref="W10:W11"/>
    <mergeCell ref="V10:V11"/>
    <mergeCell ref="Y8:AC8"/>
    <mergeCell ref="Y10:Y11"/>
    <mergeCell ref="K12:K13"/>
    <mergeCell ref="I12:I13"/>
    <mergeCell ref="J12:J13"/>
    <mergeCell ref="N12:N13"/>
    <mergeCell ref="F12:F13"/>
    <mergeCell ref="AE22:AG22"/>
    <mergeCell ref="P18:P19"/>
    <mergeCell ref="Q18:Q19"/>
    <mergeCell ref="AE18:AF19"/>
    <mergeCell ref="AG18:AG19"/>
    <mergeCell ref="W12:W13"/>
    <mergeCell ref="V12:V13"/>
    <mergeCell ref="U12:U13"/>
    <mergeCell ref="W18:W19"/>
    <mergeCell ref="V18:V19"/>
    <mergeCell ref="L16:L17"/>
    <mergeCell ref="H16:H17"/>
    <mergeCell ref="I16:I17"/>
    <mergeCell ref="J16:J17"/>
    <mergeCell ref="K16:K17"/>
    <mergeCell ref="S18:S19"/>
    <mergeCell ref="T18:T19"/>
    <mergeCell ref="S14:S15"/>
    <mergeCell ref="T14:T15"/>
    <mergeCell ref="B12:B13"/>
    <mergeCell ref="C12:C13"/>
    <mergeCell ref="D12:D13"/>
    <mergeCell ref="E12:E13"/>
    <mergeCell ref="N29:P30"/>
    <mergeCell ref="N18:N19"/>
    <mergeCell ref="O18:O19"/>
    <mergeCell ref="O16:O17"/>
    <mergeCell ref="B20:E20"/>
    <mergeCell ref="B22:C22"/>
    <mergeCell ref="B18:B19"/>
    <mergeCell ref="C18:C19"/>
    <mergeCell ref="F14:F15"/>
    <mergeCell ref="J14:J15"/>
    <mergeCell ref="K14:K15"/>
    <mergeCell ref="B14:B15"/>
    <mergeCell ref="B16:B17"/>
    <mergeCell ref="C16:C17"/>
    <mergeCell ref="D16:D17"/>
    <mergeCell ref="E14:E15"/>
    <mergeCell ref="E16:E17"/>
    <mergeCell ref="F16:F17"/>
    <mergeCell ref="H18:H19"/>
    <mergeCell ref="I18:I19"/>
    <mergeCell ref="AB10:AB11"/>
    <mergeCell ref="AC10:AC11"/>
    <mergeCell ref="Y12:Y13"/>
    <mergeCell ref="Z12:Z13"/>
    <mergeCell ref="AA12:AA13"/>
    <mergeCell ref="AB12:AB13"/>
    <mergeCell ref="AC12:AC13"/>
    <mergeCell ref="Y14:Y15"/>
    <mergeCell ref="Z14:Z15"/>
    <mergeCell ref="AA14:AA15"/>
    <mergeCell ref="AB14:AB15"/>
    <mergeCell ref="AC14:AC15"/>
    <mergeCell ref="Y27:Z28"/>
    <mergeCell ref="AA27:AA28"/>
    <mergeCell ref="AB27:AC32"/>
    <mergeCell ref="Y29:Z30"/>
    <mergeCell ref="AA29:AA30"/>
    <mergeCell ref="Y31:Z32"/>
    <mergeCell ref="AA31:AA32"/>
    <mergeCell ref="Y16:Y17"/>
    <mergeCell ref="Z16:Z17"/>
    <mergeCell ref="AA16:AA17"/>
    <mergeCell ref="AB16:AB17"/>
    <mergeCell ref="AC16:AC17"/>
    <mergeCell ref="Y18:Y19"/>
    <mergeCell ref="Z18:Z19"/>
    <mergeCell ref="AA18:AA19"/>
    <mergeCell ref="AB18:AB19"/>
    <mergeCell ref="AC18:AC19"/>
    <mergeCell ref="AE16:AF17"/>
    <mergeCell ref="AG16:AG17"/>
    <mergeCell ref="Y20:AB20"/>
    <mergeCell ref="Y22:Z22"/>
    <mergeCell ref="AB22:AC22"/>
    <mergeCell ref="Y23:Z24"/>
    <mergeCell ref="AA23:AA24"/>
    <mergeCell ref="AB23:AC26"/>
    <mergeCell ref="Y25:Z26"/>
    <mergeCell ref="AA25:AA26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222" t="s">
        <v>0</v>
      </c>
      <c r="C3" s="213"/>
      <c r="D3" s="213"/>
      <c r="E3" s="213"/>
      <c r="F3" s="213"/>
      <c r="G3" s="213"/>
      <c r="H3" s="213"/>
      <c r="I3" s="213"/>
      <c r="J3" s="213"/>
      <c r="K3" s="213"/>
      <c r="L3" s="357" t="s">
        <v>40</v>
      </c>
      <c r="M3" s="213"/>
      <c r="N3" s="213"/>
      <c r="O3" s="213"/>
      <c r="P3" s="213"/>
      <c r="Q3" s="213"/>
      <c r="R3" s="213"/>
      <c r="S3" s="213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224" t="s">
        <v>2</v>
      </c>
      <c r="C6" s="225"/>
      <c r="D6" s="226"/>
      <c r="E6" s="186"/>
      <c r="F6" s="27"/>
      <c r="G6" s="25"/>
      <c r="H6" s="28"/>
      <c r="I6" s="3"/>
      <c r="J6" s="3"/>
      <c r="K6" s="224" t="s">
        <v>3</v>
      </c>
      <c r="L6" s="225"/>
      <c r="M6" s="227" t="s">
        <v>41</v>
      </c>
      <c r="N6" s="186"/>
      <c r="O6" s="3"/>
      <c r="P6" s="3"/>
      <c r="Q6" s="3"/>
      <c r="R6" s="4" t="s">
        <v>5</v>
      </c>
      <c r="S6" s="5">
        <f ca="1">TODAY()</f>
        <v>46059</v>
      </c>
      <c r="T6" s="212"/>
      <c r="U6" s="213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205" t="s">
        <v>47</v>
      </c>
      <c r="C8" s="185"/>
      <c r="D8" s="185"/>
      <c r="E8" s="185"/>
      <c r="F8" s="185"/>
      <c r="G8" s="185"/>
      <c r="H8" s="185"/>
      <c r="I8" s="186"/>
      <c r="J8" s="6"/>
      <c r="K8" s="211" t="s">
        <v>7</v>
      </c>
      <c r="L8" s="185"/>
      <c r="M8" s="185"/>
      <c r="N8" s="185"/>
      <c r="O8" s="186"/>
      <c r="P8" s="6"/>
      <c r="Q8" s="224" t="s">
        <v>8</v>
      </c>
      <c r="R8" s="185"/>
      <c r="S8" s="186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48</v>
      </c>
      <c r="E9" s="9" t="s">
        <v>49</v>
      </c>
      <c r="F9" s="9" t="s">
        <v>58</v>
      </c>
      <c r="G9" s="9" t="s">
        <v>59</v>
      </c>
      <c r="H9" s="9" t="s">
        <v>12</v>
      </c>
      <c r="I9" s="9" t="s">
        <v>13</v>
      </c>
      <c r="J9" s="10"/>
      <c r="K9" s="9" t="s">
        <v>60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356"/>
      <c r="R9" s="186"/>
      <c r="S9" s="29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244">
        <v>1</v>
      </c>
      <c r="C10" s="245"/>
      <c r="D10" s="239">
        <v>190</v>
      </c>
      <c r="E10" s="239">
        <v>190</v>
      </c>
      <c r="F10" s="367" t="s">
        <v>52</v>
      </c>
      <c r="G10" s="239">
        <v>450</v>
      </c>
      <c r="H10" s="269">
        <v>0.5</v>
      </c>
      <c r="I10" s="239">
        <f>(G10*H10)+G10+E10+D10</f>
        <v>1055</v>
      </c>
      <c r="J10" s="12"/>
      <c r="K10" s="239">
        <v>1330</v>
      </c>
      <c r="L10" s="239">
        <v>1330</v>
      </c>
      <c r="M10" s="239">
        <v>1330</v>
      </c>
      <c r="N10" s="239">
        <v>760</v>
      </c>
      <c r="O10" s="239">
        <f>SUM(K10:N10)</f>
        <v>4750</v>
      </c>
      <c r="P10" s="12"/>
      <c r="Q10" s="347" t="s">
        <v>53</v>
      </c>
      <c r="R10" s="231"/>
      <c r="S10" s="348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93"/>
      <c r="C11" s="193"/>
      <c r="D11" s="193"/>
      <c r="E11" s="193"/>
      <c r="F11" s="193"/>
      <c r="G11" s="193"/>
      <c r="H11" s="193"/>
      <c r="I11" s="193"/>
      <c r="J11" s="12"/>
      <c r="K11" s="193"/>
      <c r="L11" s="193"/>
      <c r="M11" s="193"/>
      <c r="N11" s="193"/>
      <c r="O11" s="193"/>
      <c r="P11" s="12"/>
      <c r="Q11" s="232"/>
      <c r="R11" s="234"/>
      <c r="S11" s="193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252">
        <v>2</v>
      </c>
      <c r="C12" s="252"/>
      <c r="D12" s="240">
        <v>190</v>
      </c>
      <c r="E12" s="240">
        <v>190</v>
      </c>
      <c r="F12" s="368" t="s">
        <v>52</v>
      </c>
      <c r="G12" s="240">
        <v>450</v>
      </c>
      <c r="H12" s="270">
        <v>1</v>
      </c>
      <c r="I12" s="240">
        <f>(G12*H12)+G12+E12+D12</f>
        <v>1280</v>
      </c>
      <c r="J12" s="12"/>
      <c r="K12" s="355"/>
      <c r="L12" s="355"/>
      <c r="M12" s="240"/>
      <c r="N12" s="355"/>
      <c r="O12" s="240">
        <f>SUM(K12:N12)</f>
        <v>0</v>
      </c>
      <c r="P12" s="12"/>
      <c r="Q12" s="347" t="s">
        <v>21</v>
      </c>
      <c r="R12" s="231"/>
      <c r="S12" s="349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93"/>
      <c r="C13" s="193"/>
      <c r="D13" s="193"/>
      <c r="E13" s="193"/>
      <c r="F13" s="193"/>
      <c r="G13" s="193"/>
      <c r="H13" s="193"/>
      <c r="I13" s="193"/>
      <c r="J13" s="12"/>
      <c r="K13" s="193"/>
      <c r="L13" s="193"/>
      <c r="M13" s="193"/>
      <c r="N13" s="193"/>
      <c r="O13" s="193"/>
      <c r="P13" s="12"/>
      <c r="Q13" s="232"/>
      <c r="R13" s="234"/>
      <c r="S13" s="193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228" t="s">
        <v>53</v>
      </c>
      <c r="C14" s="185"/>
      <c r="D14" s="185"/>
      <c r="E14" s="185"/>
      <c r="F14" s="185"/>
      <c r="G14" s="185"/>
      <c r="H14" s="186"/>
      <c r="I14" s="30">
        <f>SUM(I10:I13)</f>
        <v>2335</v>
      </c>
      <c r="J14" s="13"/>
      <c r="K14" s="238" t="s">
        <v>21</v>
      </c>
      <c r="L14" s="185"/>
      <c r="M14" s="185"/>
      <c r="N14" s="186"/>
      <c r="O14" s="15">
        <f>SUM(O10:O13)</f>
        <v>4750</v>
      </c>
      <c r="P14" s="13"/>
      <c r="Q14" s="350" t="s">
        <v>25</v>
      </c>
      <c r="R14" s="186"/>
      <c r="S14" s="31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205" t="s">
        <v>26</v>
      </c>
      <c r="C16" s="185"/>
      <c r="D16" s="186"/>
      <c r="E16" s="17" t="s">
        <v>9</v>
      </c>
      <c r="F16" s="205" t="s">
        <v>27</v>
      </c>
      <c r="G16" s="185"/>
      <c r="H16" s="185"/>
      <c r="I16" s="186"/>
      <c r="J16" s="6"/>
      <c r="K16" s="201" t="s">
        <v>26</v>
      </c>
      <c r="L16" s="202"/>
      <c r="M16" s="32" t="s">
        <v>9</v>
      </c>
      <c r="N16" s="201" t="s">
        <v>27</v>
      </c>
      <c r="O16" s="202"/>
      <c r="P16" s="6"/>
      <c r="Q16" s="343" t="s">
        <v>28</v>
      </c>
      <c r="R16" s="217"/>
      <c r="S16" s="202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352" t="s">
        <v>54</v>
      </c>
      <c r="C17" s="230"/>
      <c r="D17" s="231"/>
      <c r="E17" s="361">
        <f>COUNT(B10:B13)</f>
        <v>2</v>
      </c>
      <c r="F17" s="366" t="s">
        <v>55</v>
      </c>
      <c r="G17" s="230"/>
      <c r="H17" s="230"/>
      <c r="I17" s="231"/>
      <c r="J17" s="19"/>
      <c r="K17" s="353" t="s">
        <v>60</v>
      </c>
      <c r="L17" s="247"/>
      <c r="M17" s="267">
        <f>COUNT(K10:K13)</f>
        <v>1</v>
      </c>
      <c r="N17" s="260" t="s">
        <v>32</v>
      </c>
      <c r="O17" s="255"/>
      <c r="P17" s="19"/>
      <c r="Q17" s="344"/>
      <c r="R17" s="345"/>
      <c r="S17" s="255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232"/>
      <c r="C18" s="233"/>
      <c r="D18" s="234"/>
      <c r="E18" s="193"/>
      <c r="F18" s="242"/>
      <c r="G18" s="213"/>
      <c r="H18" s="213"/>
      <c r="I18" s="243"/>
      <c r="J18" s="19"/>
      <c r="K18" s="248"/>
      <c r="L18" s="249"/>
      <c r="M18" s="259"/>
      <c r="N18" s="261"/>
      <c r="O18" s="243"/>
      <c r="P18" s="19"/>
      <c r="Q18" s="248"/>
      <c r="R18" s="346"/>
      <c r="S18" s="263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362" t="s">
        <v>49</v>
      </c>
      <c r="C19" s="230"/>
      <c r="D19" s="231"/>
      <c r="E19" s="363">
        <f>COUNT(B10:B13)</f>
        <v>2</v>
      </c>
      <c r="F19" s="242"/>
      <c r="G19" s="213"/>
      <c r="H19" s="213"/>
      <c r="I19" s="243"/>
      <c r="J19" s="19"/>
      <c r="K19" s="364" t="s">
        <v>15</v>
      </c>
      <c r="L19" s="247"/>
      <c r="M19" s="265">
        <f>COUNT(L10:L13)</f>
        <v>1</v>
      </c>
      <c r="N19" s="261"/>
      <c r="O19" s="243"/>
      <c r="P19" s="19"/>
      <c r="Q19" s="358"/>
      <c r="R19" s="345"/>
      <c r="S19" s="255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232"/>
      <c r="C20" s="233"/>
      <c r="D20" s="234"/>
      <c r="E20" s="193"/>
      <c r="F20" s="232"/>
      <c r="G20" s="233"/>
      <c r="H20" s="233"/>
      <c r="I20" s="234"/>
      <c r="J20" s="19"/>
      <c r="K20" s="248"/>
      <c r="L20" s="249"/>
      <c r="M20" s="259"/>
      <c r="N20" s="262"/>
      <c r="O20" s="263"/>
      <c r="P20" s="19"/>
      <c r="Q20" s="248"/>
      <c r="R20" s="346"/>
      <c r="S20" s="263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352" t="s">
        <v>34</v>
      </c>
      <c r="C21" s="230"/>
      <c r="D21" s="231"/>
      <c r="E21" s="361">
        <v>0</v>
      </c>
      <c r="F21" s="354" t="s">
        <v>57</v>
      </c>
      <c r="G21" s="230"/>
      <c r="H21" s="230"/>
      <c r="I21" s="231"/>
      <c r="J21" s="19"/>
      <c r="K21" s="353" t="s">
        <v>16</v>
      </c>
      <c r="L21" s="247"/>
      <c r="M21" s="267">
        <f>COUNT(M10:M13)</f>
        <v>1</v>
      </c>
      <c r="N21" s="254" t="s">
        <v>36</v>
      </c>
      <c r="O21" s="345"/>
      <c r="P21" s="20"/>
      <c r="Q21" s="359"/>
      <c r="R21" s="345"/>
      <c r="S21" s="255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232"/>
      <c r="C22" s="233"/>
      <c r="D22" s="234"/>
      <c r="E22" s="193"/>
      <c r="F22" s="242"/>
      <c r="G22" s="213"/>
      <c r="H22" s="213"/>
      <c r="I22" s="243"/>
      <c r="J22" s="19"/>
      <c r="K22" s="248"/>
      <c r="L22" s="249"/>
      <c r="M22" s="259"/>
      <c r="N22" s="213"/>
      <c r="O22" s="213"/>
      <c r="P22" s="20"/>
      <c r="Q22" s="248"/>
      <c r="R22" s="346"/>
      <c r="S22" s="263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362" t="s">
        <v>37</v>
      </c>
      <c r="C23" s="230"/>
      <c r="D23" s="231"/>
      <c r="E23" s="363">
        <v>0</v>
      </c>
      <c r="F23" s="242"/>
      <c r="G23" s="213"/>
      <c r="H23" s="213"/>
      <c r="I23" s="243"/>
      <c r="J23" s="19"/>
      <c r="K23" s="364" t="s">
        <v>17</v>
      </c>
      <c r="L23" s="247"/>
      <c r="M23" s="365">
        <f>COUNT(N10:N13)</f>
        <v>1</v>
      </c>
      <c r="N23" s="213"/>
      <c r="O23" s="213"/>
      <c r="P23" s="20"/>
      <c r="Q23" s="360"/>
      <c r="R23" s="345"/>
      <c r="S23" s="255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232"/>
      <c r="C24" s="233"/>
      <c r="D24" s="234"/>
      <c r="E24" s="193"/>
      <c r="F24" s="232"/>
      <c r="G24" s="233"/>
      <c r="H24" s="233"/>
      <c r="I24" s="234"/>
      <c r="J24" s="33"/>
      <c r="K24" s="248"/>
      <c r="L24" s="249"/>
      <c r="M24" s="259"/>
      <c r="N24" s="213"/>
      <c r="O24" s="213"/>
      <c r="P24" s="20"/>
      <c r="Q24" s="248"/>
      <c r="R24" s="346"/>
      <c r="S24" s="263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352" t="s">
        <v>38</v>
      </c>
      <c r="C25" s="230"/>
      <c r="D25" s="231"/>
      <c r="E25" s="355">
        <f>COUNT(B10:B13)</f>
        <v>2</v>
      </c>
      <c r="F25" s="354" t="s">
        <v>61</v>
      </c>
      <c r="G25" s="230"/>
      <c r="H25" s="230"/>
      <c r="I25" s="231"/>
      <c r="J25" s="33"/>
      <c r="K25" s="353" t="s">
        <v>39</v>
      </c>
      <c r="L25" s="247"/>
      <c r="M25" s="267">
        <v>0</v>
      </c>
      <c r="N25" s="213"/>
      <c r="O25" s="213"/>
      <c r="P25" s="34"/>
      <c r="Q25" s="359"/>
      <c r="R25" s="345"/>
      <c r="S25" s="255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232"/>
      <c r="C26" s="233"/>
      <c r="D26" s="234"/>
      <c r="E26" s="193"/>
      <c r="F26" s="232"/>
      <c r="G26" s="233"/>
      <c r="H26" s="233"/>
      <c r="I26" s="234"/>
      <c r="J26" s="33"/>
      <c r="K26" s="232"/>
      <c r="L26" s="266"/>
      <c r="M26" s="268"/>
      <c r="N26" s="233"/>
      <c r="O26" s="233"/>
      <c r="P26" s="34"/>
      <c r="Q26" s="232"/>
      <c r="R26" s="233"/>
      <c r="S26" s="234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351"/>
      <c r="C28" s="213"/>
      <c r="D28" s="213"/>
      <c r="E28" s="213"/>
      <c r="F28" s="213"/>
      <c r="G28" s="213"/>
      <c r="H28" s="213"/>
      <c r="I28" s="213"/>
      <c r="J28" s="213"/>
      <c r="K28" s="213"/>
      <c r="L28" s="213"/>
      <c r="M28" s="213"/>
      <c r="N28" s="213"/>
      <c r="O28" s="213"/>
      <c r="P28" s="213"/>
      <c r="Q28" s="213"/>
      <c r="R28" s="213"/>
      <c r="S28" s="213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G10:G11"/>
    <mergeCell ref="H10:H11"/>
    <mergeCell ref="G12:G13"/>
    <mergeCell ref="H12:H13"/>
    <mergeCell ref="I12:I13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3:K3"/>
    <mergeCell ref="L3:S3"/>
    <mergeCell ref="B6:C6"/>
    <mergeCell ref="D6:E6"/>
    <mergeCell ref="K6:L6"/>
    <mergeCell ref="M6:N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28:S28"/>
    <mergeCell ref="B25:D26"/>
    <mergeCell ref="K25:L26"/>
    <mergeCell ref="M25:M26"/>
    <mergeCell ref="F25:I26"/>
    <mergeCell ref="E25:E26"/>
    <mergeCell ref="Q16:S16"/>
    <mergeCell ref="Q17:S18"/>
    <mergeCell ref="Q10:R11"/>
    <mergeCell ref="S10:S11"/>
    <mergeCell ref="Q12:R13"/>
    <mergeCell ref="S12:S13"/>
    <mergeCell ref="Q14:R1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222" t="s">
        <v>0</v>
      </c>
      <c r="C3" s="213"/>
      <c r="D3" s="213"/>
      <c r="E3" s="213"/>
      <c r="F3" s="213"/>
      <c r="G3" s="213"/>
      <c r="H3" s="223" t="s">
        <v>40</v>
      </c>
      <c r="I3" s="213"/>
      <c r="J3" s="213"/>
      <c r="K3" s="213"/>
      <c r="L3" s="213"/>
      <c r="M3" s="213"/>
      <c r="N3" s="213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224" t="s">
        <v>2</v>
      </c>
      <c r="C6" s="225"/>
      <c r="D6" s="226"/>
      <c r="E6" s="186"/>
      <c r="F6" s="27"/>
      <c r="G6" s="25"/>
      <c r="H6" s="26"/>
      <c r="I6" s="26"/>
      <c r="J6" s="3"/>
      <c r="K6" s="3"/>
      <c r="L6" s="3"/>
      <c r="M6" s="4" t="s">
        <v>5</v>
      </c>
      <c r="N6" s="5">
        <f ca="1">TODAY()</f>
        <v>46059</v>
      </c>
      <c r="O6" s="212"/>
      <c r="P6" s="213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205" t="s">
        <v>62</v>
      </c>
      <c r="C8" s="185"/>
      <c r="D8" s="185"/>
      <c r="E8" s="185"/>
      <c r="F8" s="185"/>
      <c r="G8" s="185"/>
      <c r="H8" s="185"/>
      <c r="I8" s="185"/>
      <c r="J8" s="186"/>
      <c r="K8" s="6"/>
      <c r="L8" s="343" t="s">
        <v>8</v>
      </c>
      <c r="M8" s="217"/>
      <c r="N8" s="202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63</v>
      </c>
      <c r="D9" s="9" t="s">
        <v>64</v>
      </c>
      <c r="E9" s="372" t="s">
        <v>12</v>
      </c>
      <c r="F9" s="186"/>
      <c r="G9" s="9" t="s">
        <v>65</v>
      </c>
      <c r="H9" s="9" t="s">
        <v>13</v>
      </c>
      <c r="I9" s="9" t="s">
        <v>66</v>
      </c>
      <c r="J9" s="9" t="s">
        <v>13</v>
      </c>
      <c r="K9" s="10"/>
      <c r="L9" s="356"/>
      <c r="M9" s="186"/>
      <c r="N9" s="29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244">
        <v>1</v>
      </c>
      <c r="C10" s="245" t="s">
        <v>67</v>
      </c>
      <c r="D10" s="239">
        <v>450</v>
      </c>
      <c r="E10" s="373"/>
      <c r="F10" s="231"/>
      <c r="G10" s="374">
        <v>2</v>
      </c>
      <c r="H10" s="239">
        <f>G10*D10</f>
        <v>900</v>
      </c>
      <c r="I10" s="269"/>
      <c r="J10" s="239">
        <f>(H10*E10)+H10</f>
        <v>900</v>
      </c>
      <c r="K10" s="12"/>
      <c r="L10" s="347" t="s">
        <v>68</v>
      </c>
      <c r="M10" s="231"/>
      <c r="N10" s="348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93"/>
      <c r="C11" s="193"/>
      <c r="D11" s="193"/>
      <c r="E11" s="232"/>
      <c r="F11" s="234"/>
      <c r="G11" s="193"/>
      <c r="H11" s="193"/>
      <c r="I11" s="193"/>
      <c r="J11" s="193"/>
      <c r="K11" s="12"/>
      <c r="L11" s="242"/>
      <c r="M11" s="243"/>
      <c r="N11" s="369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252">
        <v>2</v>
      </c>
      <c r="C12" s="252"/>
      <c r="D12" s="240">
        <v>450</v>
      </c>
      <c r="E12" s="370"/>
      <c r="F12" s="231"/>
      <c r="G12" s="355">
        <v>1</v>
      </c>
      <c r="H12" s="240">
        <f>G12*D12</f>
        <v>450</v>
      </c>
      <c r="I12" s="270"/>
      <c r="J12" s="240">
        <f>(H12*E12)+H12</f>
        <v>450</v>
      </c>
      <c r="K12" s="12"/>
      <c r="L12" s="242"/>
      <c r="M12" s="243"/>
      <c r="N12" s="369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93"/>
      <c r="C13" s="193"/>
      <c r="D13" s="193"/>
      <c r="E13" s="232"/>
      <c r="F13" s="234"/>
      <c r="G13" s="193"/>
      <c r="H13" s="193"/>
      <c r="I13" s="193"/>
      <c r="J13" s="193"/>
      <c r="K13" s="12"/>
      <c r="L13" s="232"/>
      <c r="M13" s="234"/>
      <c r="N13" s="193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228" t="s">
        <v>53</v>
      </c>
      <c r="C14" s="185"/>
      <c r="D14" s="185"/>
      <c r="E14" s="185"/>
      <c r="F14" s="185"/>
      <c r="G14" s="185"/>
      <c r="H14" s="186"/>
      <c r="I14" s="36"/>
      <c r="J14" s="30">
        <f>SUM(J10:J13)</f>
        <v>1350</v>
      </c>
      <c r="K14" s="13"/>
      <c r="L14" s="350" t="s">
        <v>25</v>
      </c>
      <c r="M14" s="186"/>
      <c r="N14" s="31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205" t="s">
        <v>26</v>
      </c>
      <c r="C16" s="185"/>
      <c r="D16" s="186"/>
      <c r="E16" s="17" t="s">
        <v>9</v>
      </c>
      <c r="F16" s="205" t="s">
        <v>27</v>
      </c>
      <c r="G16" s="185"/>
      <c r="H16" s="185"/>
      <c r="I16" s="185"/>
      <c r="J16" s="186"/>
      <c r="K16" s="6"/>
      <c r="L16" s="343" t="s">
        <v>28</v>
      </c>
      <c r="M16" s="217"/>
      <c r="N16" s="202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352" t="s">
        <v>48</v>
      </c>
      <c r="C17" s="230"/>
      <c r="D17" s="231"/>
      <c r="E17" s="361">
        <v>0</v>
      </c>
      <c r="F17" s="371" t="s">
        <v>55</v>
      </c>
      <c r="G17" s="230"/>
      <c r="H17" s="230"/>
      <c r="I17" s="230"/>
      <c r="J17" s="231"/>
      <c r="K17" s="19"/>
      <c r="L17" s="344"/>
      <c r="M17" s="345"/>
      <c r="N17" s="255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232"/>
      <c r="C18" s="233"/>
      <c r="D18" s="234"/>
      <c r="E18" s="193"/>
      <c r="F18" s="242"/>
      <c r="G18" s="213"/>
      <c r="H18" s="213"/>
      <c r="I18" s="213"/>
      <c r="J18" s="243"/>
      <c r="K18" s="19"/>
      <c r="L18" s="248"/>
      <c r="M18" s="346"/>
      <c r="N18" s="263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362" t="s">
        <v>69</v>
      </c>
      <c r="C19" s="230"/>
      <c r="D19" s="231"/>
      <c r="E19" s="363">
        <v>0</v>
      </c>
      <c r="F19" s="242"/>
      <c r="G19" s="213"/>
      <c r="H19" s="213"/>
      <c r="I19" s="213"/>
      <c r="J19" s="243"/>
      <c r="K19" s="19"/>
      <c r="L19" s="358"/>
      <c r="M19" s="345"/>
      <c r="N19" s="255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232"/>
      <c r="C20" s="233"/>
      <c r="D20" s="234"/>
      <c r="E20" s="193"/>
      <c r="F20" s="232"/>
      <c r="G20" s="233"/>
      <c r="H20" s="233"/>
      <c r="I20" s="233"/>
      <c r="J20" s="234"/>
      <c r="K20" s="19"/>
      <c r="L20" s="248"/>
      <c r="M20" s="346"/>
      <c r="N20" s="263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352" t="s">
        <v>34</v>
      </c>
      <c r="C21" s="230"/>
      <c r="D21" s="231"/>
      <c r="E21" s="361">
        <v>0</v>
      </c>
      <c r="F21" s="354" t="s">
        <v>57</v>
      </c>
      <c r="G21" s="230"/>
      <c r="H21" s="230"/>
      <c r="I21" s="230"/>
      <c r="J21" s="231"/>
      <c r="K21" s="19"/>
      <c r="L21" s="359"/>
      <c r="M21" s="345"/>
      <c r="N21" s="255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232"/>
      <c r="C22" s="233"/>
      <c r="D22" s="234"/>
      <c r="E22" s="193"/>
      <c r="F22" s="242"/>
      <c r="G22" s="213"/>
      <c r="H22" s="213"/>
      <c r="I22" s="213"/>
      <c r="J22" s="243"/>
      <c r="K22" s="19"/>
      <c r="L22" s="248"/>
      <c r="M22" s="346"/>
      <c r="N22" s="263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362" t="s">
        <v>37</v>
      </c>
      <c r="C23" s="230"/>
      <c r="D23" s="231"/>
      <c r="E23" s="363">
        <v>0</v>
      </c>
      <c r="F23" s="242"/>
      <c r="G23" s="213"/>
      <c r="H23" s="213"/>
      <c r="I23" s="213"/>
      <c r="J23" s="243"/>
      <c r="K23" s="19"/>
      <c r="L23" s="360"/>
      <c r="M23" s="345"/>
      <c r="N23" s="255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232"/>
      <c r="C24" s="233"/>
      <c r="D24" s="234"/>
      <c r="E24" s="193"/>
      <c r="F24" s="232"/>
      <c r="G24" s="233"/>
      <c r="H24" s="233"/>
      <c r="I24" s="233"/>
      <c r="J24" s="234"/>
      <c r="K24" s="33"/>
      <c r="L24" s="248"/>
      <c r="M24" s="346"/>
      <c r="N24" s="263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352" t="s">
        <v>38</v>
      </c>
      <c r="C25" s="230"/>
      <c r="D25" s="231"/>
      <c r="E25" s="355">
        <v>0</v>
      </c>
      <c r="F25" s="354" t="s">
        <v>61</v>
      </c>
      <c r="G25" s="230"/>
      <c r="H25" s="230"/>
      <c r="I25" s="230"/>
      <c r="J25" s="231"/>
      <c r="K25" s="33"/>
      <c r="L25" s="359"/>
      <c r="M25" s="345"/>
      <c r="N25" s="25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232"/>
      <c r="C26" s="233"/>
      <c r="D26" s="234"/>
      <c r="E26" s="193"/>
      <c r="F26" s="232"/>
      <c r="G26" s="233"/>
      <c r="H26" s="233"/>
      <c r="I26" s="233"/>
      <c r="J26" s="234"/>
      <c r="K26" s="33"/>
      <c r="L26" s="232"/>
      <c r="M26" s="233"/>
      <c r="N26" s="234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B3:G3"/>
    <mergeCell ref="H3:N3"/>
    <mergeCell ref="B6:C6"/>
    <mergeCell ref="D6:E6"/>
    <mergeCell ref="O6:P6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I12:I13"/>
    <mergeCell ref="J12:J13"/>
    <mergeCell ref="F16:J16"/>
    <mergeCell ref="F17:J20"/>
    <mergeCell ref="F21:J24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E17:E18"/>
    <mergeCell ref="B19:D20"/>
    <mergeCell ref="E19:E20"/>
    <mergeCell ref="E21:E22"/>
    <mergeCell ref="L19:N20"/>
    <mergeCell ref="L21:N2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V998"/>
  <sheetViews>
    <sheetView zoomScale="55" zoomScaleNormal="55" workbookViewId="0"/>
  </sheetViews>
  <sheetFormatPr defaultColWidth="12.5703125" defaultRowHeight="15" customHeight="1"/>
  <cols>
    <col min="1" max="1" width="12.5703125" customWidth="1"/>
    <col min="3" max="3" width="37.85546875" customWidth="1"/>
    <col min="4" max="5" width="31.28515625" customWidth="1"/>
    <col min="6" max="6" width="29.28515625" bestFit="1" customWidth="1"/>
    <col min="7" max="7" width="31.42578125" customWidth="1"/>
    <col min="8" max="8" width="31" customWidth="1"/>
    <col min="9" max="9" width="31.85546875" customWidth="1"/>
    <col min="10" max="10" width="33.85546875" bestFit="1" customWidth="1"/>
    <col min="11" max="11" width="33.85546875" customWidth="1"/>
    <col min="12" max="12" width="31" customWidth="1"/>
    <col min="13" max="13" width="32.140625" customWidth="1"/>
    <col min="14" max="14" width="31" customWidth="1"/>
    <col min="15" max="15" width="32.42578125" customWidth="1"/>
    <col min="16" max="16" width="31.7109375" customWidth="1"/>
    <col min="17" max="17" width="26" customWidth="1"/>
    <col min="18" max="18" width="4.85546875" customWidth="1"/>
    <col min="19" max="19" width="29.28515625" bestFit="1" customWidth="1"/>
    <col min="20" max="20" width="28.5703125" customWidth="1"/>
    <col min="21" max="21" width="31" customWidth="1"/>
    <col min="22" max="22" width="39.85546875" customWidth="1"/>
  </cols>
  <sheetData>
    <row r="1" spans="2:22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2:22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2:22" ht="54" customHeight="1">
      <c r="B3" s="222" t="s">
        <v>0</v>
      </c>
      <c r="C3" s="213"/>
      <c r="D3" s="213"/>
      <c r="E3" s="213"/>
      <c r="F3" s="213"/>
      <c r="G3" s="213"/>
      <c r="H3" s="213"/>
      <c r="I3" s="213"/>
      <c r="J3" s="223" t="s">
        <v>1</v>
      </c>
      <c r="K3" s="213"/>
      <c r="L3" s="213"/>
      <c r="M3" s="213"/>
      <c r="N3" s="213"/>
      <c r="O3" s="213"/>
      <c r="P3" s="213"/>
      <c r="Q3" s="213"/>
      <c r="R3" s="1"/>
    </row>
    <row r="4" spans="2:22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2:22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2:22" ht="31.5" customHeight="1">
      <c r="B6" s="224" t="s">
        <v>2</v>
      </c>
      <c r="C6" s="225"/>
      <c r="D6" s="226"/>
      <c r="E6" s="186"/>
      <c r="F6" s="3"/>
      <c r="G6" s="3"/>
      <c r="H6" s="224" t="s">
        <v>3</v>
      </c>
      <c r="I6" s="225"/>
      <c r="J6" s="227" t="s">
        <v>4</v>
      </c>
      <c r="K6" s="186"/>
      <c r="L6" s="3"/>
      <c r="M6" s="3"/>
      <c r="N6" s="3"/>
      <c r="O6" s="3"/>
      <c r="P6" s="4" t="s">
        <v>5</v>
      </c>
      <c r="Q6" s="5">
        <f ca="1">TODAY()</f>
        <v>46059</v>
      </c>
      <c r="R6" s="1"/>
    </row>
    <row r="7" spans="2:2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2:22" ht="31.5" customHeight="1">
      <c r="B8" s="444" t="s">
        <v>70</v>
      </c>
      <c r="C8" s="445"/>
      <c r="D8" s="445"/>
      <c r="E8" s="445"/>
      <c r="F8" s="445"/>
      <c r="G8" s="445"/>
      <c r="H8" s="445"/>
      <c r="I8" s="445"/>
      <c r="J8" s="445"/>
      <c r="K8" s="445"/>
      <c r="L8" s="445"/>
      <c r="M8" s="445"/>
      <c r="N8" s="445"/>
      <c r="O8" s="445"/>
      <c r="P8" s="445"/>
      <c r="Q8" s="446"/>
      <c r="R8" s="116"/>
      <c r="S8" s="280" t="s">
        <v>165</v>
      </c>
      <c r="T8" s="447"/>
      <c r="U8" s="447"/>
      <c r="V8" s="423"/>
    </row>
    <row r="9" spans="2:22" ht="78.75">
      <c r="B9" s="132" t="s">
        <v>9</v>
      </c>
      <c r="C9" s="131" t="s">
        <v>10</v>
      </c>
      <c r="D9" s="131" t="s">
        <v>167</v>
      </c>
      <c r="E9" s="131" t="s">
        <v>168</v>
      </c>
      <c r="F9" s="514" t="s">
        <v>169</v>
      </c>
      <c r="G9" s="514" t="s">
        <v>170</v>
      </c>
      <c r="H9" s="514" t="s">
        <v>171</v>
      </c>
      <c r="I9" s="514" t="s">
        <v>172</v>
      </c>
      <c r="J9" s="131" t="s">
        <v>173</v>
      </c>
      <c r="K9" s="131" t="s">
        <v>174</v>
      </c>
      <c r="L9" s="514" t="s">
        <v>175</v>
      </c>
      <c r="M9" s="514" t="s">
        <v>184</v>
      </c>
      <c r="N9" s="514" t="s">
        <v>185</v>
      </c>
      <c r="O9" s="514" t="s">
        <v>187</v>
      </c>
      <c r="P9" s="514" t="s">
        <v>186</v>
      </c>
      <c r="Q9" s="131" t="s">
        <v>13</v>
      </c>
      <c r="R9" s="116"/>
      <c r="S9" s="133" t="s">
        <v>178</v>
      </c>
      <c r="T9" s="133" t="s">
        <v>60</v>
      </c>
      <c r="U9" s="133" t="s">
        <v>15</v>
      </c>
      <c r="V9" s="133" t="s">
        <v>13</v>
      </c>
    </row>
    <row r="10" spans="2:22" ht="31.5" customHeight="1">
      <c r="B10" s="299">
        <v>1</v>
      </c>
      <c r="C10" s="300" t="s">
        <v>72</v>
      </c>
      <c r="D10" s="300">
        <v>0</v>
      </c>
      <c r="E10" s="305">
        <v>190</v>
      </c>
      <c r="F10" s="300">
        <v>0</v>
      </c>
      <c r="G10" s="305">
        <v>190</v>
      </c>
      <c r="H10" s="300">
        <v>0</v>
      </c>
      <c r="I10" s="305">
        <v>190</v>
      </c>
      <c r="J10" s="300">
        <v>0</v>
      </c>
      <c r="K10" s="305">
        <v>190</v>
      </c>
      <c r="L10" s="300">
        <v>0</v>
      </c>
      <c r="M10" s="305">
        <v>190</v>
      </c>
      <c r="N10" s="300">
        <v>1</v>
      </c>
      <c r="O10" s="300">
        <v>1</v>
      </c>
      <c r="P10" s="305">
        <v>90</v>
      </c>
      <c r="Q10" s="305">
        <f>SUM(D10:P10)</f>
        <v>1042</v>
      </c>
      <c r="R10" s="116"/>
      <c r="S10" s="288"/>
      <c r="T10" s="290"/>
      <c r="U10" s="290">
        <v>1330</v>
      </c>
      <c r="V10" s="290">
        <f>SUM(S10:U10)</f>
        <v>1330</v>
      </c>
    </row>
    <row r="11" spans="2:22" ht="31.5" customHeight="1">
      <c r="B11" s="276"/>
      <c r="C11" s="276"/>
      <c r="D11" s="276"/>
      <c r="E11" s="382"/>
      <c r="F11" s="276"/>
      <c r="G11" s="382"/>
      <c r="H11" s="276"/>
      <c r="I11" s="382"/>
      <c r="J11" s="276"/>
      <c r="K11" s="382"/>
      <c r="L11" s="276"/>
      <c r="M11" s="382"/>
      <c r="N11" s="411"/>
      <c r="O11" s="411"/>
      <c r="P11" s="276"/>
      <c r="Q11" s="276"/>
      <c r="R11" s="116"/>
      <c r="S11" s="276"/>
      <c r="T11" s="276"/>
      <c r="U11" s="276"/>
      <c r="V11" s="276"/>
    </row>
    <row r="12" spans="2:22" ht="31.5" customHeight="1">
      <c r="B12" s="303">
        <v>2</v>
      </c>
      <c r="C12" s="288" t="s">
        <v>150</v>
      </c>
      <c r="D12" s="300">
        <v>0</v>
      </c>
      <c r="E12" s="305">
        <v>190</v>
      </c>
      <c r="F12" s="300">
        <v>0</v>
      </c>
      <c r="G12" s="305">
        <v>190</v>
      </c>
      <c r="H12" s="300">
        <v>0</v>
      </c>
      <c r="I12" s="305">
        <v>190</v>
      </c>
      <c r="J12" s="300">
        <v>0</v>
      </c>
      <c r="K12" s="305">
        <v>190</v>
      </c>
      <c r="L12" s="300">
        <v>0</v>
      </c>
      <c r="M12" s="305">
        <v>190</v>
      </c>
      <c r="N12" s="300">
        <v>1</v>
      </c>
      <c r="O12" s="300">
        <v>1</v>
      </c>
      <c r="P12" s="305">
        <v>90</v>
      </c>
      <c r="Q12" s="305">
        <f>SUM(D12:P12)</f>
        <v>1042</v>
      </c>
      <c r="R12" s="116"/>
      <c r="S12" s="290">
        <v>1330</v>
      </c>
      <c r="T12" s="290">
        <v>1330</v>
      </c>
      <c r="U12" s="290"/>
      <c r="V12" s="290">
        <f>SUM(S12:U12)</f>
        <v>2660</v>
      </c>
    </row>
    <row r="13" spans="2:22" ht="31.5" customHeight="1">
      <c r="B13" s="276"/>
      <c r="C13" s="276"/>
      <c r="D13" s="276"/>
      <c r="E13" s="382"/>
      <c r="F13" s="276"/>
      <c r="G13" s="382"/>
      <c r="H13" s="276"/>
      <c r="I13" s="382"/>
      <c r="J13" s="276"/>
      <c r="K13" s="382"/>
      <c r="L13" s="276"/>
      <c r="M13" s="382"/>
      <c r="N13" s="411"/>
      <c r="O13" s="276"/>
      <c r="P13" s="276"/>
      <c r="Q13" s="276"/>
      <c r="R13" s="116"/>
      <c r="S13" s="276"/>
      <c r="T13" s="276"/>
      <c r="U13" s="276"/>
      <c r="V13" s="276"/>
    </row>
    <row r="14" spans="2:22" ht="31.5" customHeight="1">
      <c r="B14" s="299">
        <v>3</v>
      </c>
      <c r="C14" s="300" t="s">
        <v>154</v>
      </c>
      <c r="D14" s="300">
        <v>0</v>
      </c>
      <c r="E14" s="305">
        <v>190</v>
      </c>
      <c r="F14" s="300">
        <v>0</v>
      </c>
      <c r="G14" s="305">
        <v>190</v>
      </c>
      <c r="H14" s="300">
        <v>0</v>
      </c>
      <c r="I14" s="305">
        <v>190</v>
      </c>
      <c r="J14" s="300">
        <v>0</v>
      </c>
      <c r="K14" s="305">
        <v>190</v>
      </c>
      <c r="L14" s="300">
        <v>0</v>
      </c>
      <c r="M14" s="305">
        <v>190</v>
      </c>
      <c r="N14" s="300">
        <v>1</v>
      </c>
      <c r="O14" s="300">
        <v>1</v>
      </c>
      <c r="P14" s="305">
        <v>90</v>
      </c>
      <c r="Q14" s="305">
        <f>SUM(D14:P14)</f>
        <v>1042</v>
      </c>
      <c r="R14" s="116"/>
      <c r="S14" s="288"/>
      <c r="T14" s="288"/>
      <c r="U14" s="290">
        <v>1330</v>
      </c>
      <c r="V14" s="290">
        <f>SUM(S14:U14)</f>
        <v>1330</v>
      </c>
    </row>
    <row r="15" spans="2:22" ht="31.5" customHeight="1">
      <c r="B15" s="276"/>
      <c r="C15" s="276"/>
      <c r="D15" s="276"/>
      <c r="E15" s="382"/>
      <c r="F15" s="276"/>
      <c r="G15" s="382"/>
      <c r="H15" s="276"/>
      <c r="I15" s="382"/>
      <c r="J15" s="276"/>
      <c r="K15" s="382"/>
      <c r="L15" s="276"/>
      <c r="M15" s="382"/>
      <c r="N15" s="411"/>
      <c r="O15" s="276"/>
      <c r="P15" s="276"/>
      <c r="Q15" s="276"/>
      <c r="R15" s="116"/>
      <c r="S15" s="276"/>
      <c r="T15" s="276"/>
      <c r="U15" s="276"/>
      <c r="V15" s="276"/>
    </row>
    <row r="16" spans="2:22" ht="31.5" customHeight="1">
      <c r="B16" s="303">
        <v>4</v>
      </c>
      <c r="C16" s="288" t="s">
        <v>155</v>
      </c>
      <c r="D16" s="300">
        <v>0</v>
      </c>
      <c r="E16" s="305">
        <v>190</v>
      </c>
      <c r="F16" s="300">
        <v>0</v>
      </c>
      <c r="G16" s="305">
        <v>190</v>
      </c>
      <c r="H16" s="300">
        <v>0</v>
      </c>
      <c r="I16" s="305">
        <v>190</v>
      </c>
      <c r="J16" s="300">
        <v>0</v>
      </c>
      <c r="K16" s="305">
        <v>190</v>
      </c>
      <c r="L16" s="300">
        <v>0</v>
      </c>
      <c r="M16" s="305">
        <v>190</v>
      </c>
      <c r="N16" s="300">
        <v>1</v>
      </c>
      <c r="O16" s="300">
        <v>1</v>
      </c>
      <c r="P16" s="305">
        <v>90</v>
      </c>
      <c r="Q16" s="305">
        <f>SUM(D16:P16)</f>
        <v>1042</v>
      </c>
      <c r="R16" s="116"/>
      <c r="S16" s="290">
        <v>1330</v>
      </c>
      <c r="T16" s="288"/>
      <c r="U16" s="288"/>
      <c r="V16" s="290">
        <f>SUM(S16:U16)</f>
        <v>1330</v>
      </c>
    </row>
    <row r="17" spans="2:22" ht="31.5" customHeight="1">
      <c r="B17" s="276"/>
      <c r="C17" s="276"/>
      <c r="D17" s="276"/>
      <c r="E17" s="382"/>
      <c r="F17" s="276"/>
      <c r="G17" s="382"/>
      <c r="H17" s="276"/>
      <c r="I17" s="382"/>
      <c r="J17" s="276"/>
      <c r="K17" s="382"/>
      <c r="L17" s="276"/>
      <c r="M17" s="382"/>
      <c r="N17" s="411"/>
      <c r="O17" s="276"/>
      <c r="P17" s="276"/>
      <c r="Q17" s="276"/>
      <c r="R17" s="116"/>
      <c r="S17" s="276"/>
      <c r="T17" s="276"/>
      <c r="U17" s="276"/>
      <c r="V17" s="276"/>
    </row>
    <row r="18" spans="2:22" ht="31.5" customHeight="1">
      <c r="B18" s="299">
        <v>5</v>
      </c>
      <c r="C18" s="300" t="s">
        <v>156</v>
      </c>
      <c r="D18" s="300">
        <v>0</v>
      </c>
      <c r="E18" s="305">
        <v>190</v>
      </c>
      <c r="F18" s="300">
        <v>0</v>
      </c>
      <c r="G18" s="305">
        <v>190</v>
      </c>
      <c r="H18" s="300">
        <v>0</v>
      </c>
      <c r="I18" s="305">
        <v>190</v>
      </c>
      <c r="J18" s="300">
        <v>0</v>
      </c>
      <c r="K18" s="305">
        <v>190</v>
      </c>
      <c r="L18" s="300">
        <v>0</v>
      </c>
      <c r="M18" s="305">
        <v>190</v>
      </c>
      <c r="N18" s="300">
        <v>1</v>
      </c>
      <c r="O18" s="300">
        <v>1</v>
      </c>
      <c r="P18" s="305">
        <v>90</v>
      </c>
      <c r="Q18" s="305">
        <f>SUM(D18:P18)</f>
        <v>1042</v>
      </c>
      <c r="R18" s="116"/>
      <c r="S18" s="288"/>
      <c r="T18" s="288"/>
      <c r="U18" s="290"/>
      <c r="V18" s="290">
        <f>SUM(S18:U18)</f>
        <v>0</v>
      </c>
    </row>
    <row r="19" spans="2:22" ht="31.5" customHeight="1">
      <c r="B19" s="276"/>
      <c r="C19" s="276"/>
      <c r="D19" s="276"/>
      <c r="E19" s="382"/>
      <c r="F19" s="276"/>
      <c r="G19" s="382"/>
      <c r="H19" s="276"/>
      <c r="I19" s="382"/>
      <c r="J19" s="276"/>
      <c r="K19" s="382"/>
      <c r="L19" s="276"/>
      <c r="M19" s="382"/>
      <c r="N19" s="411"/>
      <c r="O19" s="276"/>
      <c r="P19" s="276"/>
      <c r="Q19" s="276"/>
      <c r="R19" s="116"/>
      <c r="S19" s="276"/>
      <c r="T19" s="276"/>
      <c r="U19" s="276"/>
      <c r="V19" s="276"/>
    </row>
    <row r="20" spans="2:22" ht="31.5" customHeight="1">
      <c r="B20" s="334" t="s">
        <v>73</v>
      </c>
      <c r="C20" s="421"/>
      <c r="D20" s="421"/>
      <c r="E20" s="421"/>
      <c r="F20" s="421"/>
      <c r="G20" s="421"/>
      <c r="H20" s="421"/>
      <c r="I20" s="421"/>
      <c r="J20" s="421"/>
      <c r="K20" s="421"/>
      <c r="L20" s="421"/>
      <c r="M20" s="421"/>
      <c r="N20" s="421"/>
      <c r="O20" s="421"/>
      <c r="P20" s="422"/>
      <c r="Q20" s="155">
        <f>SUM(Q10:Q19)</f>
        <v>5210</v>
      </c>
      <c r="R20" s="116"/>
      <c r="S20" s="277" t="s">
        <v>164</v>
      </c>
      <c r="T20" s="278"/>
      <c r="U20" s="278"/>
      <c r="V20" s="126">
        <f>SUM(V10:V19)</f>
        <v>6650</v>
      </c>
    </row>
    <row r="21" spans="2:22" ht="31.5" customHeight="1"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16"/>
      <c r="S21" s="122"/>
      <c r="T21" s="122"/>
      <c r="U21" s="122"/>
      <c r="V21" s="122"/>
    </row>
    <row r="22" spans="2:22" ht="31.5" customHeight="1">
      <c r="B22" s="398" t="s">
        <v>26</v>
      </c>
      <c r="C22" s="399"/>
      <c r="D22" s="399"/>
      <c r="E22" s="400"/>
      <c r="F22" s="156" t="s">
        <v>9</v>
      </c>
      <c r="G22" s="398" t="s">
        <v>74</v>
      </c>
      <c r="H22" s="399"/>
      <c r="I22" s="399"/>
      <c r="J22" s="400"/>
      <c r="K22" s="398" t="s">
        <v>27</v>
      </c>
      <c r="L22" s="399"/>
      <c r="M22" s="399"/>
      <c r="N22" s="399"/>
      <c r="O22" s="399"/>
      <c r="P22" s="399"/>
      <c r="Q22" s="400"/>
      <c r="R22" s="116"/>
      <c r="S22" s="280" t="s">
        <v>26</v>
      </c>
      <c r="T22" s="423"/>
      <c r="U22" s="152" t="s">
        <v>9</v>
      </c>
      <c r="V22" s="153" t="s">
        <v>27</v>
      </c>
    </row>
    <row r="23" spans="2:22" ht="31.5" customHeight="1">
      <c r="B23" s="376" t="s">
        <v>54</v>
      </c>
      <c r="C23" s="377"/>
      <c r="D23" s="377"/>
      <c r="E23" s="378"/>
      <c r="F23" s="412">
        <f>COUNT(D10:D19)</f>
        <v>5</v>
      </c>
      <c r="G23" s="336" t="s">
        <v>179</v>
      </c>
      <c r="H23" s="401"/>
      <c r="I23" s="401"/>
      <c r="J23" s="402"/>
      <c r="K23" s="329" t="s">
        <v>161</v>
      </c>
      <c r="L23" s="413"/>
      <c r="M23" s="413"/>
      <c r="N23" s="413"/>
      <c r="O23" s="413"/>
      <c r="P23" s="413"/>
      <c r="Q23" s="414"/>
      <c r="R23" s="116"/>
      <c r="S23" s="424" t="s">
        <v>178</v>
      </c>
      <c r="T23" s="295"/>
      <c r="U23" s="425">
        <f>COUNT(S10:S19)</f>
        <v>2</v>
      </c>
      <c r="V23" s="375"/>
    </row>
    <row r="24" spans="2:22" ht="31.5" customHeight="1">
      <c r="B24" s="379"/>
      <c r="C24" s="380"/>
      <c r="D24" s="380"/>
      <c r="E24" s="381"/>
      <c r="F24" s="332"/>
      <c r="G24" s="403"/>
      <c r="H24" s="404"/>
      <c r="I24" s="404"/>
      <c r="J24" s="405"/>
      <c r="K24" s="415"/>
      <c r="L24" s="416"/>
      <c r="M24" s="416"/>
      <c r="N24" s="416"/>
      <c r="O24" s="416"/>
      <c r="P24" s="416"/>
      <c r="Q24" s="417"/>
      <c r="R24" s="116"/>
      <c r="S24" s="296"/>
      <c r="T24" s="298"/>
      <c r="U24" s="296"/>
      <c r="V24" s="375"/>
    </row>
    <row r="25" spans="2:22" ht="31.5" customHeight="1">
      <c r="B25" s="392" t="s">
        <v>149</v>
      </c>
      <c r="C25" s="393"/>
      <c r="D25" s="393"/>
      <c r="E25" s="394"/>
      <c r="F25" s="338">
        <f>COUNT(F10:F19)</f>
        <v>5</v>
      </c>
      <c r="G25" s="337" t="s">
        <v>180</v>
      </c>
      <c r="H25" s="406"/>
      <c r="I25" s="406"/>
      <c r="J25" s="407"/>
      <c r="K25" s="415"/>
      <c r="L25" s="416"/>
      <c r="M25" s="416"/>
      <c r="N25" s="416"/>
      <c r="O25" s="416"/>
      <c r="P25" s="416"/>
      <c r="Q25" s="417"/>
      <c r="R25" s="116"/>
      <c r="S25" s="436" t="s">
        <v>60</v>
      </c>
      <c r="T25" s="295"/>
      <c r="U25" s="439">
        <f>COUNT(T10:T19)</f>
        <v>1</v>
      </c>
      <c r="V25" s="375"/>
    </row>
    <row r="26" spans="2:22" ht="31.5" customHeight="1">
      <c r="B26" s="395"/>
      <c r="C26" s="396"/>
      <c r="D26" s="396"/>
      <c r="E26" s="397"/>
      <c r="F26" s="339"/>
      <c r="G26" s="408"/>
      <c r="H26" s="409"/>
      <c r="I26" s="409"/>
      <c r="J26" s="410"/>
      <c r="K26" s="418"/>
      <c r="L26" s="419"/>
      <c r="M26" s="419"/>
      <c r="N26" s="419"/>
      <c r="O26" s="419"/>
      <c r="P26" s="419"/>
      <c r="Q26" s="420"/>
      <c r="R26" s="116"/>
      <c r="S26" s="437"/>
      <c r="T26" s="438"/>
      <c r="U26" s="437"/>
      <c r="V26" s="375"/>
    </row>
    <row r="27" spans="2:22" ht="31.5" customHeight="1">
      <c r="B27" s="376" t="s">
        <v>51</v>
      </c>
      <c r="C27" s="377"/>
      <c r="D27" s="377"/>
      <c r="E27" s="378"/>
      <c r="F27" s="331">
        <f>COUNT(H10:H19)</f>
        <v>5</v>
      </c>
      <c r="G27" s="335" t="s">
        <v>181</v>
      </c>
      <c r="H27" s="383"/>
      <c r="I27" s="383"/>
      <c r="J27" s="384"/>
      <c r="K27" s="426"/>
      <c r="L27" s="427"/>
      <c r="M27" s="427"/>
      <c r="N27" s="427"/>
      <c r="O27" s="427"/>
      <c r="P27" s="427"/>
      <c r="Q27" s="428"/>
      <c r="R27" s="116"/>
      <c r="S27" s="440" t="s">
        <v>15</v>
      </c>
      <c r="T27" s="441"/>
      <c r="U27" s="442">
        <f>COUNT(U10:U19)</f>
        <v>2</v>
      </c>
      <c r="V27" s="375"/>
    </row>
    <row r="28" spans="2:22" ht="31.5" customHeight="1">
      <c r="B28" s="379"/>
      <c r="C28" s="380"/>
      <c r="D28" s="380"/>
      <c r="E28" s="381"/>
      <c r="F28" s="340"/>
      <c r="G28" s="385"/>
      <c r="H28" s="386"/>
      <c r="I28" s="386"/>
      <c r="J28" s="387"/>
      <c r="K28" s="429"/>
      <c r="L28" s="430"/>
      <c r="M28" s="430"/>
      <c r="N28" s="430"/>
      <c r="O28" s="430"/>
      <c r="P28" s="430"/>
      <c r="Q28" s="431"/>
      <c r="R28" s="116"/>
      <c r="S28" s="441"/>
      <c r="T28" s="441"/>
      <c r="U28" s="443"/>
      <c r="V28" s="375"/>
    </row>
    <row r="29" spans="2:22" ht="31.5" customHeight="1">
      <c r="B29" s="392" t="s">
        <v>50</v>
      </c>
      <c r="C29" s="393"/>
      <c r="D29" s="393"/>
      <c r="E29" s="394"/>
      <c r="F29" s="338">
        <f>COUNT(J10:J19)</f>
        <v>5</v>
      </c>
      <c r="G29" s="337" t="s">
        <v>182</v>
      </c>
      <c r="H29" s="406"/>
      <c r="I29" s="406"/>
      <c r="J29" s="407"/>
      <c r="K29" s="429"/>
      <c r="L29" s="430"/>
      <c r="M29" s="430"/>
      <c r="N29" s="430"/>
      <c r="O29" s="430"/>
      <c r="P29" s="430"/>
      <c r="Q29" s="431"/>
      <c r="R29" s="116"/>
      <c r="S29" s="435"/>
      <c r="T29" s="389"/>
      <c r="U29" s="388"/>
      <c r="V29" s="154"/>
    </row>
    <row r="30" spans="2:22" ht="31.5" customHeight="1">
      <c r="B30" s="395"/>
      <c r="C30" s="396"/>
      <c r="D30" s="396"/>
      <c r="E30" s="397"/>
      <c r="F30" s="339"/>
      <c r="G30" s="408"/>
      <c r="H30" s="409"/>
      <c r="I30" s="409"/>
      <c r="J30" s="410"/>
      <c r="K30" s="429"/>
      <c r="L30" s="430"/>
      <c r="M30" s="430"/>
      <c r="N30" s="430"/>
      <c r="O30" s="430"/>
      <c r="P30" s="430"/>
      <c r="Q30" s="431"/>
      <c r="R30" s="116"/>
      <c r="S30" s="389"/>
      <c r="T30" s="389"/>
      <c r="U30" s="389"/>
      <c r="V30" s="154"/>
    </row>
    <row r="31" spans="2:22" ht="31.5" customHeight="1">
      <c r="B31" s="376" t="s">
        <v>58</v>
      </c>
      <c r="C31" s="377"/>
      <c r="D31" s="377"/>
      <c r="E31" s="378"/>
      <c r="F31" s="331">
        <f>COUNT(L10:L19)</f>
        <v>5</v>
      </c>
      <c r="G31" s="335" t="s">
        <v>183</v>
      </c>
      <c r="H31" s="383"/>
      <c r="I31" s="383"/>
      <c r="J31" s="384"/>
      <c r="K31" s="429"/>
      <c r="L31" s="430"/>
      <c r="M31" s="430"/>
      <c r="N31" s="430"/>
      <c r="O31" s="430"/>
      <c r="P31" s="430"/>
      <c r="Q31" s="431"/>
      <c r="R31" s="114"/>
      <c r="S31" s="390"/>
      <c r="T31" s="389"/>
      <c r="U31" s="391"/>
      <c r="V31" s="154"/>
    </row>
    <row r="32" spans="2:22" ht="31.5" customHeight="1">
      <c r="B32" s="379"/>
      <c r="C32" s="380"/>
      <c r="D32" s="380"/>
      <c r="E32" s="381"/>
      <c r="F32" s="340"/>
      <c r="G32" s="385"/>
      <c r="H32" s="386"/>
      <c r="I32" s="386"/>
      <c r="J32" s="387"/>
      <c r="K32" s="429"/>
      <c r="L32" s="430"/>
      <c r="M32" s="430"/>
      <c r="N32" s="430"/>
      <c r="O32" s="430"/>
      <c r="P32" s="430"/>
      <c r="Q32" s="431"/>
      <c r="R32" s="114"/>
      <c r="S32" s="389"/>
      <c r="T32" s="389"/>
      <c r="U32" s="389"/>
      <c r="V32" s="154"/>
    </row>
    <row r="33" spans="2:22" ht="31.5" customHeight="1">
      <c r="B33" s="376" t="s">
        <v>71</v>
      </c>
      <c r="C33" s="377"/>
      <c r="D33" s="377"/>
      <c r="E33" s="378"/>
      <c r="F33" s="331">
        <f>COUNT(P10:P19)</f>
        <v>5</v>
      </c>
      <c r="G33" s="335" t="s">
        <v>190</v>
      </c>
      <c r="H33" s="383"/>
      <c r="I33" s="383"/>
      <c r="J33" s="384"/>
      <c r="K33" s="429"/>
      <c r="L33" s="430"/>
      <c r="M33" s="430"/>
      <c r="N33" s="430"/>
      <c r="O33" s="430"/>
      <c r="P33" s="430"/>
      <c r="Q33" s="431"/>
      <c r="R33" s="114"/>
      <c r="S33" s="113"/>
      <c r="T33" s="113"/>
      <c r="U33" s="113"/>
      <c r="V33" s="114"/>
    </row>
    <row r="34" spans="2:22" ht="31.5" customHeight="1">
      <c r="B34" s="379"/>
      <c r="C34" s="380"/>
      <c r="D34" s="380"/>
      <c r="E34" s="381"/>
      <c r="F34" s="340"/>
      <c r="G34" s="385"/>
      <c r="H34" s="386"/>
      <c r="I34" s="386"/>
      <c r="J34" s="387"/>
      <c r="K34" s="432"/>
      <c r="L34" s="433"/>
      <c r="M34" s="433"/>
      <c r="N34" s="433"/>
      <c r="O34" s="433"/>
      <c r="P34" s="433"/>
      <c r="Q34" s="434"/>
      <c r="R34" s="114"/>
      <c r="S34" s="113"/>
      <c r="T34" s="113"/>
      <c r="U34" s="113"/>
      <c r="V34" s="114"/>
    </row>
    <row r="35" spans="2:22" ht="31.5" customHeight="1">
      <c r="B35" s="376" t="s">
        <v>188</v>
      </c>
      <c r="C35" s="377"/>
      <c r="D35" s="377"/>
      <c r="E35" s="378"/>
      <c r="F35" s="305">
        <v>215</v>
      </c>
      <c r="G35" s="335"/>
      <c r="H35" s="383"/>
      <c r="I35" s="383"/>
      <c r="J35" s="384"/>
      <c r="K35" s="1"/>
      <c r="R35" s="114"/>
      <c r="S35" s="113"/>
      <c r="T35" s="113"/>
      <c r="U35" s="113"/>
      <c r="V35" s="114"/>
    </row>
    <row r="36" spans="2:22" ht="31.5" customHeight="1">
      <c r="B36" s="379"/>
      <c r="C36" s="380"/>
      <c r="D36" s="380"/>
      <c r="E36" s="381"/>
      <c r="F36" s="382"/>
      <c r="G36" s="385"/>
      <c r="H36" s="386"/>
      <c r="I36" s="386"/>
      <c r="J36" s="387"/>
      <c r="K36" s="1"/>
      <c r="R36" s="114"/>
      <c r="S36" s="113"/>
      <c r="T36" s="113"/>
      <c r="U36" s="113"/>
      <c r="V36" s="114"/>
    </row>
    <row r="37" spans="2:22" ht="31.5" customHeight="1">
      <c r="B37" s="376" t="s">
        <v>189</v>
      </c>
      <c r="C37" s="377"/>
      <c r="D37" s="377"/>
      <c r="E37" s="378"/>
      <c r="F37" s="305">
        <v>110</v>
      </c>
      <c r="G37" s="335"/>
      <c r="H37" s="383"/>
      <c r="I37" s="383"/>
      <c r="J37" s="384"/>
      <c r="K37" s="1"/>
      <c r="R37" s="114"/>
      <c r="S37" s="113"/>
      <c r="T37" s="113"/>
      <c r="U37" s="113"/>
      <c r="V37" s="114"/>
    </row>
    <row r="38" spans="2:22" ht="31.5" customHeight="1">
      <c r="B38" s="379"/>
      <c r="C38" s="380"/>
      <c r="D38" s="380"/>
      <c r="E38" s="381"/>
      <c r="F38" s="382"/>
      <c r="G38" s="385"/>
      <c r="H38" s="386"/>
      <c r="I38" s="386"/>
      <c r="J38" s="387"/>
      <c r="K38" s="1"/>
      <c r="R38" s="114"/>
      <c r="S38" s="113"/>
      <c r="T38" s="113"/>
      <c r="U38" s="113"/>
      <c r="V38" s="114"/>
    </row>
    <row r="39" spans="2:22" ht="31.5" customHeight="1"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2:22" ht="31.5" customHeight="1"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2:22" ht="31.5" customHeight="1"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2:22" ht="31.5" customHeight="1"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2:22" ht="31.5" customHeight="1"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2:22" ht="31.5" customHeight="1"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2:22" ht="31.5" customHeight="1"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2:22" ht="31.5" customHeight="1"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2:22" ht="31.5" customHeight="1"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2:22" ht="31.5" customHeight="1"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2:11" ht="31.5" customHeight="1"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2:11" ht="31.5" customHeight="1"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2:11" ht="31.5" customHeight="1"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2:11" ht="31.5" customHeight="1"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2:11" ht="31.5" customHeight="1"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2:11" ht="31.5" customHeight="1"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2:11" ht="31.5" customHeight="1"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2:11" ht="31.5" customHeight="1"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2:11" ht="31.5" customHeight="1"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2:11" ht="31.5" customHeight="1"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2:11" ht="31.5" customHeight="1"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2:11" ht="31.5" customHeight="1"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2:11" ht="31.5" customHeight="1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11" ht="31.5" customHeight="1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11" ht="31.5" customHeight="1"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2:11" ht="31.5" customHeight="1"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2:11" ht="31.5" customHeight="1"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2:11" ht="31.5" customHeight="1"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2:11" ht="31.5" customHeight="1"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2:11" ht="31.5" customHeight="1"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2:11" ht="31.5" customHeight="1"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2:11" ht="31.5" customHeight="1"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2:11" ht="31.5" customHeight="1"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2:11" ht="31.5" customHeight="1"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2:11" ht="31.5" customHeight="1"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2:11" ht="31.5" customHeight="1"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2:11" ht="31.5" customHeight="1"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2:11" ht="31.5" customHeight="1"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2:11" ht="31.5" customHeight="1"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2:11" ht="31.5" customHeight="1"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2:11" ht="31.5" customHeight="1"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2:11" ht="31.5" customHeight="1"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2:18" ht="31.5" customHeight="1"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2:18" ht="31.5" customHeight="1"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2:18" ht="31.5" customHeight="1"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2:18" ht="31.5" customHeight="1"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2:18" ht="31.5" customHeight="1"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2:18" ht="31.5" customHeight="1"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2:18" ht="31.5" customHeight="1"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2:18" ht="31.5" customHeight="1"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2:18" ht="31.5" customHeight="1"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2:18" ht="31.5" customHeight="1"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2:18" ht="31.5" customHeight="1"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2:18" ht="31.5" customHeight="1"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2:18" ht="31.5" customHeight="1"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2:18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2:18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2:18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2:18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2:1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2:18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2:18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2:18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2:18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2:18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2:18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2:18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2:18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2:18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2:1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2:18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2:18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2:18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2:18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2:18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2:18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2:18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2:18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2:18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2:1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2:18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2:18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2:18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2:18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2:18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2:18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2:18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2:18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2:18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2:1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2:18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2:18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2:18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2:18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2:18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2:18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2:18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2:18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2:18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2:1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2:18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2:18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2:18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2:18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2:18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2:18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2:18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2:18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2:18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2:1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2:18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2:18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2:18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2:18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2:18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2:18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2:18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2:18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2:18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2:1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2:18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2:18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2:18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2:18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2:18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2:18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2:18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2:18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2:18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2:1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2:18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2:18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2:18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2:18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2:18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2:18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2:18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2:18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2:18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2:1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2:18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2:18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2:18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2:18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2:18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2:18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2:18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2:18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2:18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2:1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2:18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2:18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2:18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2:18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2:18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2:18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2:18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2:18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</row>
    <row r="197" spans="2:18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</row>
    <row r="198" spans="2:1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</row>
    <row r="199" spans="2:18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</row>
    <row r="200" spans="2:18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</row>
    <row r="201" spans="2:18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</row>
    <row r="202" spans="2:18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</row>
    <row r="203" spans="2:18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</row>
    <row r="204" spans="2:18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</row>
    <row r="205" spans="2:18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</row>
    <row r="206" spans="2:18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</row>
    <row r="207" spans="2:18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</row>
    <row r="208" spans="2:1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</row>
    <row r="209" spans="2:18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</row>
    <row r="210" spans="2:18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</row>
    <row r="211" spans="2:18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</row>
    <row r="212" spans="2:18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</row>
    <row r="213" spans="2:18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</row>
    <row r="214" spans="2:18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</row>
    <row r="215" spans="2:18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</row>
    <row r="216" spans="2:18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</row>
    <row r="217" spans="2:18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</row>
    <row r="218" spans="2:1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</row>
    <row r="219" spans="2:18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</row>
    <row r="220" spans="2:18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</row>
    <row r="221" spans="2:18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</row>
    <row r="222" spans="2:18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</row>
    <row r="223" spans="2:18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</row>
    <row r="224" spans="2:18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51">
    <mergeCell ref="B3:I3"/>
    <mergeCell ref="J3:Q3"/>
    <mergeCell ref="D6:E6"/>
    <mergeCell ref="H6:I6"/>
    <mergeCell ref="J6:K6"/>
    <mergeCell ref="S29:T30"/>
    <mergeCell ref="F27:F28"/>
    <mergeCell ref="S25:T26"/>
    <mergeCell ref="U25:U26"/>
    <mergeCell ref="S27:T28"/>
    <mergeCell ref="U27:U28"/>
    <mergeCell ref="E16:E17"/>
    <mergeCell ref="B6:C6"/>
    <mergeCell ref="B8:Q8"/>
    <mergeCell ref="S8:V8"/>
    <mergeCell ref="B10:B11"/>
    <mergeCell ref="C10:C11"/>
    <mergeCell ref="D10:D11"/>
    <mergeCell ref="F10:F11"/>
    <mergeCell ref="U10:U11"/>
    <mergeCell ref="H10:H11"/>
    <mergeCell ref="J10:J11"/>
    <mergeCell ref="L10:L11"/>
    <mergeCell ref="O10:O11"/>
    <mergeCell ref="F33:F34"/>
    <mergeCell ref="S22:T22"/>
    <mergeCell ref="P18:P19"/>
    <mergeCell ref="Q18:Q19"/>
    <mergeCell ref="S18:S19"/>
    <mergeCell ref="T18:T19"/>
    <mergeCell ref="U18:U19"/>
    <mergeCell ref="S23:T24"/>
    <mergeCell ref="U23:U24"/>
    <mergeCell ref="F29:F30"/>
    <mergeCell ref="K27:Q34"/>
    <mergeCell ref="M18:M19"/>
    <mergeCell ref="V18:V19"/>
    <mergeCell ref="S20:U20"/>
    <mergeCell ref="V12:V13"/>
    <mergeCell ref="V14:V15"/>
    <mergeCell ref="B16:B17"/>
    <mergeCell ref="C16:C17"/>
    <mergeCell ref="D16:D17"/>
    <mergeCell ref="F16:F17"/>
    <mergeCell ref="H16:H17"/>
    <mergeCell ref="J16:J17"/>
    <mergeCell ref="L16:L17"/>
    <mergeCell ref="O16:O17"/>
    <mergeCell ref="P16:P17"/>
    <mergeCell ref="Q16:Q17"/>
    <mergeCell ref="S16:S17"/>
    <mergeCell ref="T16:T17"/>
    <mergeCell ref="U16:U17"/>
    <mergeCell ref="V16:V17"/>
    <mergeCell ref="Q14:Q15"/>
    <mergeCell ref="S14:S15"/>
    <mergeCell ref="T14:T15"/>
    <mergeCell ref="U14:U15"/>
    <mergeCell ref="H14:H15"/>
    <mergeCell ref="J14:J15"/>
    <mergeCell ref="P10:P11"/>
    <mergeCell ref="Q10:Q11"/>
    <mergeCell ref="S10:S11"/>
    <mergeCell ref="T10:T11"/>
    <mergeCell ref="V10:V11"/>
    <mergeCell ref="E10:E11"/>
    <mergeCell ref="K10:K11"/>
    <mergeCell ref="U12:U13"/>
    <mergeCell ref="B12:B13"/>
    <mergeCell ref="C12:C13"/>
    <mergeCell ref="D12:D13"/>
    <mergeCell ref="Q12:Q13"/>
    <mergeCell ref="S12:S13"/>
    <mergeCell ref="T12:T13"/>
    <mergeCell ref="N10:N11"/>
    <mergeCell ref="M10:M11"/>
    <mergeCell ref="M12:M13"/>
    <mergeCell ref="B14:B15"/>
    <mergeCell ref="C14:C15"/>
    <mergeCell ref="D14:D15"/>
    <mergeCell ref="F14:F15"/>
    <mergeCell ref="O14:O15"/>
    <mergeCell ref="P14:P15"/>
    <mergeCell ref="L12:L13"/>
    <mergeCell ref="O12:O13"/>
    <mergeCell ref="P12:P13"/>
    <mergeCell ref="L14:L15"/>
    <mergeCell ref="E12:E13"/>
    <mergeCell ref="E14:E15"/>
    <mergeCell ref="K12:K13"/>
    <mergeCell ref="K14:K15"/>
    <mergeCell ref="J12:J13"/>
    <mergeCell ref="F12:F13"/>
    <mergeCell ref="N12:N13"/>
    <mergeCell ref="N14:N15"/>
    <mergeCell ref="M14:M15"/>
    <mergeCell ref="B25:E26"/>
    <mergeCell ref="F25:F26"/>
    <mergeCell ref="F23:F24"/>
    <mergeCell ref="H18:H19"/>
    <mergeCell ref="J18:J19"/>
    <mergeCell ref="L18:L19"/>
    <mergeCell ref="O18:O19"/>
    <mergeCell ref="B22:E22"/>
    <mergeCell ref="B23:E24"/>
    <mergeCell ref="K22:Q22"/>
    <mergeCell ref="K23:Q26"/>
    <mergeCell ref="B18:B19"/>
    <mergeCell ref="C18:C19"/>
    <mergeCell ref="D18:D19"/>
    <mergeCell ref="F18:F19"/>
    <mergeCell ref="B20:P20"/>
    <mergeCell ref="E18:E19"/>
    <mergeCell ref="N16:N17"/>
    <mergeCell ref="N18:N19"/>
    <mergeCell ref="G10:G11"/>
    <mergeCell ref="G12:G13"/>
    <mergeCell ref="G14:G15"/>
    <mergeCell ref="G16:G17"/>
    <mergeCell ref="G18:G19"/>
    <mergeCell ref="I10:I11"/>
    <mergeCell ref="I12:I13"/>
    <mergeCell ref="I14:I15"/>
    <mergeCell ref="I16:I17"/>
    <mergeCell ref="I18:I19"/>
    <mergeCell ref="H12:H13"/>
    <mergeCell ref="M16:M17"/>
    <mergeCell ref="V23:V28"/>
    <mergeCell ref="B35:E36"/>
    <mergeCell ref="F35:F36"/>
    <mergeCell ref="G35:J36"/>
    <mergeCell ref="B37:E38"/>
    <mergeCell ref="F37:F38"/>
    <mergeCell ref="G37:J38"/>
    <mergeCell ref="K16:K17"/>
    <mergeCell ref="K18:K19"/>
    <mergeCell ref="U29:U30"/>
    <mergeCell ref="F31:F32"/>
    <mergeCell ref="S31:T32"/>
    <mergeCell ref="U31:U32"/>
    <mergeCell ref="B27:E28"/>
    <mergeCell ref="B29:E30"/>
    <mergeCell ref="B31:E32"/>
    <mergeCell ref="B33:E34"/>
    <mergeCell ref="G22:J22"/>
    <mergeCell ref="G23:J24"/>
    <mergeCell ref="G25:J26"/>
    <mergeCell ref="G27:J28"/>
    <mergeCell ref="G29:J30"/>
    <mergeCell ref="G31:J32"/>
    <mergeCell ref="G33:J34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37" t="s">
        <v>79</v>
      </c>
      <c r="B1" s="38"/>
      <c r="C1" s="37" t="s">
        <v>80</v>
      </c>
      <c r="D1" s="464"/>
      <c r="E1" s="233"/>
      <c r="F1" s="233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3.5" customHeight="1">
      <c r="A2" s="37" t="s">
        <v>5</v>
      </c>
      <c r="B2" s="40">
        <f ca="1">TODAY()</f>
        <v>46059</v>
      </c>
      <c r="C2" s="41"/>
      <c r="D2" s="41"/>
      <c r="E2" s="41"/>
      <c r="F2" s="41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3.5" customHeight="1">
      <c r="A3" s="42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3.5" customHeight="1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3.5" customHeight="1">
      <c r="A5" s="43" t="s">
        <v>81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3.5" customHeight="1">
      <c r="A6" s="39"/>
      <c r="B6" s="39"/>
      <c r="C6" s="39"/>
      <c r="D6" s="39"/>
      <c r="E6" s="465" t="s">
        <v>82</v>
      </c>
      <c r="F6" s="213"/>
      <c r="G6" s="39" t="s">
        <v>83</v>
      </c>
      <c r="H6" s="44"/>
      <c r="I6" s="44"/>
      <c r="J6" s="44"/>
      <c r="K6" s="44"/>
      <c r="L6" s="44"/>
      <c r="M6" s="44"/>
      <c r="N6" s="39"/>
      <c r="O6" s="44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3.5" customHeight="1">
      <c r="A7" s="42" t="s">
        <v>63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3.5" customHeight="1">
      <c r="A8" s="45" t="s">
        <v>84</v>
      </c>
      <c r="B8" s="45"/>
      <c r="C8" s="45"/>
      <c r="D8" s="45"/>
      <c r="E8" s="45"/>
      <c r="F8" s="45"/>
      <c r="G8" s="45"/>
      <c r="H8" s="46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 spans="1:26" ht="13.5" customHeight="1">
      <c r="A9" s="47" t="s">
        <v>9</v>
      </c>
      <c r="B9" s="47" t="s">
        <v>85</v>
      </c>
      <c r="C9" s="47" t="s">
        <v>86</v>
      </c>
      <c r="D9" s="48"/>
      <c r="E9" s="49" t="s">
        <v>87</v>
      </c>
      <c r="F9" s="50" t="s">
        <v>88</v>
      </c>
      <c r="G9" s="50" t="s">
        <v>12</v>
      </c>
      <c r="H9" s="47" t="s">
        <v>13</v>
      </c>
      <c r="I9" s="51"/>
      <c r="J9" s="50" t="s">
        <v>89</v>
      </c>
      <c r="K9" s="50" t="s">
        <v>88</v>
      </c>
      <c r="L9" s="50" t="s">
        <v>12</v>
      </c>
      <c r="M9" s="50" t="s">
        <v>13</v>
      </c>
      <c r="N9" s="52"/>
      <c r="O9" s="50" t="s">
        <v>90</v>
      </c>
      <c r="P9" s="50" t="s">
        <v>91</v>
      </c>
      <c r="Q9" s="50" t="s">
        <v>92</v>
      </c>
      <c r="R9" s="52"/>
      <c r="S9" s="52"/>
      <c r="T9" s="52"/>
      <c r="U9" s="52"/>
      <c r="V9" s="52"/>
      <c r="W9" s="52"/>
      <c r="X9" s="52"/>
      <c r="Y9" s="52"/>
      <c r="Z9" s="52"/>
    </row>
    <row r="10" spans="1:26" ht="18" customHeight="1">
      <c r="A10" s="53">
        <v>1</v>
      </c>
      <c r="B10" s="53" t="s">
        <v>93</v>
      </c>
      <c r="C10" s="54">
        <v>950</v>
      </c>
      <c r="D10" s="55"/>
      <c r="E10" s="455">
        <v>70</v>
      </c>
      <c r="F10" s="56">
        <v>5</v>
      </c>
      <c r="G10" s="57">
        <v>0.5</v>
      </c>
      <c r="H10" s="58">
        <v>525</v>
      </c>
      <c r="I10" s="59"/>
      <c r="J10" s="455">
        <v>70</v>
      </c>
      <c r="K10" s="53">
        <v>5</v>
      </c>
      <c r="L10" s="60">
        <v>0.5</v>
      </c>
      <c r="M10" s="58">
        <v>525</v>
      </c>
      <c r="N10" s="39"/>
      <c r="O10" s="455">
        <v>680</v>
      </c>
      <c r="P10" s="57">
        <v>0.5</v>
      </c>
      <c r="Q10" s="61">
        <f>SUM(O10*P10)+O10</f>
        <v>1020</v>
      </c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8" customHeight="1">
      <c r="A11" s="62">
        <v>2</v>
      </c>
      <c r="B11" s="62" t="s">
        <v>67</v>
      </c>
      <c r="C11" s="63">
        <v>950</v>
      </c>
      <c r="D11" s="55"/>
      <c r="E11" s="193"/>
      <c r="F11" s="62">
        <v>5</v>
      </c>
      <c r="G11" s="64">
        <v>0.25</v>
      </c>
      <c r="H11" s="65">
        <f>(E10*G11)+E10*F11</f>
        <v>367.5</v>
      </c>
      <c r="I11" s="59"/>
      <c r="J11" s="193"/>
      <c r="K11" s="62">
        <v>5</v>
      </c>
      <c r="L11" s="64"/>
      <c r="M11" s="65">
        <f>(J10*L11)+J10*K11</f>
        <v>350</v>
      </c>
      <c r="N11" s="39"/>
      <c r="O11" s="193"/>
      <c r="P11" s="64"/>
      <c r="Q11" s="63">
        <f>SUM(O10*P11)+O10</f>
        <v>680</v>
      </c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3.5" customHeight="1">
      <c r="A12" s="458" t="s">
        <v>94</v>
      </c>
      <c r="B12" s="186"/>
      <c r="C12" s="66">
        <f>SUM(C9:C11)</f>
        <v>1900</v>
      </c>
      <c r="D12" s="39"/>
      <c r="E12" s="458" t="s">
        <v>95</v>
      </c>
      <c r="F12" s="185"/>
      <c r="G12" s="186"/>
      <c r="H12" s="66">
        <f>SUM(H10:H11)</f>
        <v>892.5</v>
      </c>
      <c r="I12" s="39"/>
      <c r="J12" s="458" t="s">
        <v>96</v>
      </c>
      <c r="K12" s="185"/>
      <c r="L12" s="186"/>
      <c r="M12" s="66">
        <f>SUM(M9:M11)</f>
        <v>875</v>
      </c>
      <c r="N12" s="39"/>
      <c r="O12" s="458" t="s">
        <v>97</v>
      </c>
      <c r="P12" s="186"/>
      <c r="Q12" s="66">
        <f>SUM(Q9:Q11)</f>
        <v>1700</v>
      </c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3.5" customHeight="1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3.5" customHeight="1">
      <c r="A14" s="39"/>
      <c r="B14" s="39"/>
      <c r="C14" s="39"/>
      <c r="D14" s="39"/>
      <c r="E14" s="460" t="s">
        <v>98</v>
      </c>
      <c r="F14" s="213"/>
      <c r="G14" s="213"/>
      <c r="H14" s="213"/>
      <c r="I14" s="39"/>
      <c r="J14" s="39"/>
      <c r="K14" s="39"/>
      <c r="L14" s="39"/>
      <c r="M14" s="39"/>
      <c r="N14" s="39"/>
      <c r="O14" s="460" t="s">
        <v>99</v>
      </c>
      <c r="P14" s="213"/>
      <c r="Q14" s="213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3.5" customHeight="1">
      <c r="A15" s="39"/>
      <c r="B15" s="39"/>
      <c r="C15" s="39"/>
      <c r="D15" s="39"/>
      <c r="E15" s="213"/>
      <c r="F15" s="213"/>
      <c r="G15" s="213"/>
      <c r="H15" s="213"/>
      <c r="I15" s="39"/>
      <c r="J15" s="39"/>
      <c r="K15" s="39"/>
      <c r="L15" s="39"/>
      <c r="M15" s="39"/>
      <c r="N15" s="39"/>
      <c r="O15" s="213"/>
      <c r="P15" s="213"/>
      <c r="Q15" s="213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24.75" customHeight="1">
      <c r="A16" s="67"/>
      <c r="B16" s="67"/>
      <c r="C16" s="67"/>
      <c r="D16" s="67"/>
      <c r="E16" s="39"/>
      <c r="F16" s="39"/>
      <c r="G16" s="42"/>
      <c r="H16" s="42"/>
      <c r="I16" s="42"/>
      <c r="J16" s="39"/>
      <c r="K16" s="39"/>
      <c r="L16" s="39"/>
      <c r="M16" s="39"/>
      <c r="N16" s="39"/>
      <c r="O16" s="213"/>
      <c r="P16" s="213"/>
      <c r="Q16" s="213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3.5" customHeight="1">
      <c r="A17" s="67"/>
      <c r="B17" s="67"/>
      <c r="C17" s="67"/>
      <c r="D17" s="67"/>
      <c r="E17" s="39"/>
      <c r="F17" s="39"/>
      <c r="G17" s="42"/>
      <c r="H17" s="42"/>
      <c r="I17" s="42"/>
      <c r="J17" s="39"/>
      <c r="K17" s="39"/>
      <c r="L17" s="39"/>
      <c r="M17" s="39"/>
      <c r="N17" s="39"/>
      <c r="O17" s="68"/>
      <c r="P17" s="68"/>
      <c r="Q17" s="68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3.5" customHeight="1">
      <c r="A18" s="67"/>
      <c r="B18" s="67"/>
      <c r="C18" s="67"/>
      <c r="D18" s="67"/>
      <c r="E18" s="39"/>
      <c r="F18" s="39"/>
      <c r="G18" s="42"/>
      <c r="H18" s="42"/>
      <c r="I18" s="42"/>
      <c r="J18" s="39"/>
      <c r="K18" s="39"/>
      <c r="L18" s="39"/>
      <c r="M18" s="39"/>
      <c r="N18" s="39"/>
      <c r="O18" s="68"/>
      <c r="P18" s="68"/>
      <c r="Q18" s="68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51" customHeight="1">
      <c r="A19" s="461" t="s">
        <v>100</v>
      </c>
      <c r="B19" s="185"/>
      <c r="C19" s="185"/>
      <c r="D19" s="185"/>
      <c r="E19" s="185"/>
      <c r="F19" s="186"/>
      <c r="G19" s="45"/>
      <c r="H19" s="45"/>
      <c r="I19" s="45"/>
      <c r="J19" s="462" t="s">
        <v>101</v>
      </c>
      <c r="K19" s="186"/>
      <c r="L19" s="69" t="s">
        <v>10</v>
      </c>
      <c r="M19" s="69" t="s">
        <v>13</v>
      </c>
      <c r="N19" s="39"/>
      <c r="O19" s="68"/>
      <c r="P19" s="68"/>
      <c r="Q19" s="68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8" customHeight="1">
      <c r="A20" s="70" t="s">
        <v>9</v>
      </c>
      <c r="B20" s="70" t="s">
        <v>85</v>
      </c>
      <c r="C20" s="70" t="s">
        <v>102</v>
      </c>
      <c r="D20" s="70" t="s">
        <v>64</v>
      </c>
      <c r="E20" s="70" t="s">
        <v>13</v>
      </c>
      <c r="F20" s="70" t="s">
        <v>103</v>
      </c>
      <c r="G20" s="71"/>
      <c r="H20" s="71"/>
      <c r="I20" s="72"/>
      <c r="J20" s="463">
        <v>665</v>
      </c>
      <c r="K20" s="231"/>
      <c r="L20" s="56" t="s">
        <v>104</v>
      </c>
      <c r="M20" s="73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8" customHeight="1">
      <c r="A21" s="56">
        <v>1</v>
      </c>
      <c r="B21" s="56" t="str">
        <f t="shared" ref="B21:B22" si="0">B10</f>
        <v>JEAN</v>
      </c>
      <c r="C21" s="56">
        <v>50</v>
      </c>
      <c r="D21" s="61">
        <v>54</v>
      </c>
      <c r="E21" s="61">
        <f t="shared" ref="E21:E22" si="1">D21*C21</f>
        <v>2700</v>
      </c>
      <c r="F21" s="56"/>
      <c r="G21" s="74"/>
      <c r="H21" s="75"/>
      <c r="I21" s="75"/>
      <c r="J21" s="242"/>
      <c r="K21" s="243"/>
      <c r="L21" s="56" t="s">
        <v>105</v>
      </c>
      <c r="M21" s="73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8" customHeight="1">
      <c r="A22" s="62">
        <v>2</v>
      </c>
      <c r="B22" s="62" t="str">
        <f t="shared" si="0"/>
        <v>TOP</v>
      </c>
      <c r="C22" s="62">
        <v>50</v>
      </c>
      <c r="D22" s="63">
        <v>27</v>
      </c>
      <c r="E22" s="63">
        <f t="shared" si="1"/>
        <v>1350</v>
      </c>
      <c r="F22" s="62"/>
      <c r="G22" s="74"/>
      <c r="H22" s="75"/>
      <c r="I22" s="75"/>
      <c r="J22" s="232"/>
      <c r="K22" s="234"/>
      <c r="L22" s="56"/>
      <c r="M22" s="56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3.5" customHeight="1">
      <c r="A23" s="459" t="s">
        <v>106</v>
      </c>
      <c r="B23" s="233"/>
      <c r="C23" s="233"/>
      <c r="D23" s="266"/>
      <c r="E23" s="76">
        <f>SUM(E21:E22)</f>
        <v>4050</v>
      </c>
      <c r="F23" s="77"/>
      <c r="G23" s="78"/>
      <c r="H23" s="79"/>
      <c r="I23" s="79"/>
      <c r="J23" s="458" t="s">
        <v>107</v>
      </c>
      <c r="K23" s="185"/>
      <c r="L23" s="186"/>
      <c r="M23" s="80">
        <f>SUM(M20:M22)</f>
        <v>0</v>
      </c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3.5" customHeight="1">
      <c r="A24" s="39"/>
      <c r="B24" s="39"/>
      <c r="C24" s="39"/>
      <c r="D24" s="39"/>
      <c r="E24" s="81"/>
      <c r="F24" s="79"/>
      <c r="G24" s="79"/>
      <c r="H24" s="82"/>
      <c r="I24" s="75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3.5" customHeight="1">
      <c r="A25" s="39"/>
      <c r="B25" s="39"/>
      <c r="C25" s="39"/>
      <c r="D25" s="39"/>
      <c r="E25" s="39"/>
      <c r="F25" s="39"/>
      <c r="G25" s="82"/>
      <c r="H25" s="82"/>
      <c r="I25" s="82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30" customHeight="1">
      <c r="A26" s="456" t="s">
        <v>108</v>
      </c>
      <c r="B26" s="185"/>
      <c r="C26" s="186"/>
      <c r="D26" s="39"/>
      <c r="E26" s="39"/>
      <c r="F26" s="39"/>
      <c r="G26" s="82"/>
      <c r="H26" s="82"/>
      <c r="I26" s="82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3.5" customHeight="1">
      <c r="A27" s="457" t="s">
        <v>81</v>
      </c>
      <c r="B27" s="185"/>
      <c r="C27" s="186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3.5" customHeight="1">
      <c r="A28" s="449" t="s">
        <v>94</v>
      </c>
      <c r="B28" s="213"/>
      <c r="C28" s="83">
        <f>C12</f>
        <v>1900</v>
      </c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3.5" customHeight="1">
      <c r="A29" s="449" t="s">
        <v>95</v>
      </c>
      <c r="B29" s="213"/>
      <c r="C29" s="83">
        <f>H12</f>
        <v>892.5</v>
      </c>
      <c r="D29" s="453" t="s">
        <v>109</v>
      </c>
      <c r="E29" s="213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3.5" customHeight="1">
      <c r="A30" s="449" t="s">
        <v>110</v>
      </c>
      <c r="B30" s="213"/>
      <c r="C30" s="83">
        <f>M12</f>
        <v>875</v>
      </c>
      <c r="D30" s="453" t="s">
        <v>109</v>
      </c>
      <c r="E30" s="213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3.5" customHeight="1">
      <c r="A31" s="449" t="s">
        <v>97</v>
      </c>
      <c r="B31" s="213"/>
      <c r="C31" s="83">
        <f>Q12</f>
        <v>1700</v>
      </c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3.5" customHeight="1">
      <c r="A32" s="449" t="s">
        <v>101</v>
      </c>
      <c r="B32" s="213"/>
      <c r="C32" s="83">
        <f>M23</f>
        <v>0</v>
      </c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3.5" customHeight="1">
      <c r="A33" s="450" t="s">
        <v>111</v>
      </c>
      <c r="B33" s="213"/>
      <c r="C33" s="84">
        <f>SUM(C28:C32)</f>
        <v>5367.5</v>
      </c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3.5" customHeight="1">
      <c r="A34" s="451"/>
      <c r="B34" s="233"/>
      <c r="C34" s="234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3.5" customHeight="1">
      <c r="A35" s="452" t="s">
        <v>112</v>
      </c>
      <c r="B35" s="185"/>
      <c r="C35" s="186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3.5" customHeight="1">
      <c r="A36" s="449" t="s">
        <v>113</v>
      </c>
      <c r="B36" s="213"/>
      <c r="C36" s="83">
        <f>E23/2</f>
        <v>2025</v>
      </c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3.5" customHeight="1">
      <c r="A37" s="449" t="s">
        <v>114</v>
      </c>
      <c r="B37" s="213"/>
      <c r="C37" s="83">
        <f>C36</f>
        <v>2025</v>
      </c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3.5" customHeight="1">
      <c r="A38" s="454"/>
      <c r="B38" s="213"/>
      <c r="C38" s="243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3.5" customHeight="1">
      <c r="A39" s="450" t="s">
        <v>25</v>
      </c>
      <c r="B39" s="213"/>
      <c r="C39" s="85">
        <f>C36+C33</f>
        <v>7392.5</v>
      </c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3.5" customHeight="1">
      <c r="A40" s="454"/>
      <c r="B40" s="213"/>
      <c r="C40" s="243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3.5" customHeight="1">
      <c r="A41" s="448" t="s">
        <v>115</v>
      </c>
      <c r="B41" s="233"/>
      <c r="C41" s="86">
        <f>+C37+C39</f>
        <v>9417.5</v>
      </c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3.5" customHeight="1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3.5" customHeight="1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3.5" customHeight="1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3.5" customHeight="1">
      <c r="A45" s="39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3.5" customHeight="1">
      <c r="A46" s="39"/>
      <c r="B46" s="82"/>
      <c r="C46" s="42"/>
      <c r="D46" s="42"/>
      <c r="E46" s="42"/>
      <c r="F46" s="42"/>
      <c r="G46" s="42"/>
      <c r="H46" s="42"/>
      <c r="I46" s="42"/>
      <c r="J46" s="42"/>
      <c r="K46" s="42"/>
      <c r="L46" s="82"/>
      <c r="M46" s="82"/>
      <c r="N46" s="42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3.5" customHeight="1">
      <c r="A47" s="39"/>
      <c r="B47" s="88"/>
      <c r="C47" s="88"/>
      <c r="D47" s="89"/>
      <c r="E47" s="90"/>
      <c r="F47" s="89"/>
      <c r="G47" s="89"/>
      <c r="H47" s="89"/>
      <c r="I47" s="89"/>
      <c r="J47" s="89"/>
      <c r="K47" s="89"/>
      <c r="L47" s="87"/>
      <c r="M47" s="87"/>
      <c r="N47" s="8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3.5" customHeight="1">
      <c r="A48" s="39"/>
      <c r="B48" s="88"/>
      <c r="C48" s="88"/>
      <c r="D48" s="89"/>
      <c r="E48" s="90"/>
      <c r="F48" s="89"/>
      <c r="G48" s="89"/>
      <c r="H48" s="89"/>
      <c r="I48" s="89"/>
      <c r="J48" s="89"/>
      <c r="K48" s="89"/>
      <c r="L48" s="87"/>
      <c r="M48" s="87"/>
      <c r="N48" s="8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3.5" customHeight="1">
      <c r="A49" s="39"/>
      <c r="B49" s="88"/>
      <c r="C49" s="88"/>
      <c r="D49" s="89"/>
      <c r="E49" s="88"/>
      <c r="F49" s="89"/>
      <c r="G49" s="88"/>
      <c r="H49" s="88"/>
      <c r="I49" s="89"/>
      <c r="J49" s="88"/>
      <c r="K49" s="89"/>
      <c r="L49" s="87"/>
      <c r="M49" s="87"/>
      <c r="N49" s="8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3.5" customHeight="1">
      <c r="A50" s="39"/>
      <c r="B50" s="88"/>
      <c r="C50" s="88"/>
      <c r="D50" s="89"/>
      <c r="E50" s="88"/>
      <c r="F50" s="89"/>
      <c r="G50" s="88"/>
      <c r="H50" s="88"/>
      <c r="I50" s="89"/>
      <c r="J50" s="88"/>
      <c r="K50" s="89"/>
      <c r="L50" s="87"/>
      <c r="M50" s="87"/>
      <c r="N50" s="8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3.5" customHeight="1">
      <c r="A51" s="39"/>
      <c r="B51" s="88"/>
      <c r="C51" s="88"/>
      <c r="D51" s="89"/>
      <c r="E51" s="88"/>
      <c r="F51" s="89"/>
      <c r="G51" s="88"/>
      <c r="H51" s="88"/>
      <c r="I51" s="88"/>
      <c r="J51" s="88"/>
      <c r="K51" s="89"/>
      <c r="L51" s="91"/>
      <c r="M51" s="91"/>
      <c r="N51" s="92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3.5" customHeight="1">
      <c r="A52" s="39"/>
      <c r="B52" s="88"/>
      <c r="C52" s="88"/>
      <c r="D52" s="89"/>
      <c r="E52" s="88"/>
      <c r="F52" s="89"/>
      <c r="G52" s="88"/>
      <c r="H52" s="88"/>
      <c r="I52" s="88"/>
      <c r="J52" s="88"/>
      <c r="K52" s="89"/>
      <c r="L52" s="91"/>
      <c r="M52" s="91"/>
      <c r="N52" s="92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3.5" customHeight="1">
      <c r="A53" s="39"/>
      <c r="B53" s="87"/>
      <c r="C53" s="87"/>
      <c r="D53" s="87"/>
      <c r="E53" s="87"/>
      <c r="F53" s="93"/>
      <c r="G53" s="87"/>
      <c r="H53" s="87"/>
      <c r="I53" s="87"/>
      <c r="J53" s="87"/>
      <c r="K53" s="93"/>
      <c r="L53" s="87"/>
      <c r="M53" s="87"/>
      <c r="N53" s="93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3.5" customHeight="1">
      <c r="A54" s="39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3.5" customHeight="1">
      <c r="A55" s="39"/>
      <c r="B55" s="87"/>
      <c r="C55" s="87"/>
      <c r="D55" s="42"/>
      <c r="E55" s="87"/>
      <c r="F55" s="87"/>
      <c r="G55" s="87"/>
      <c r="H55" s="87"/>
      <c r="I55" s="42"/>
      <c r="J55" s="87"/>
      <c r="K55" s="87"/>
      <c r="L55" s="87"/>
      <c r="M55" s="87"/>
      <c r="N55" s="87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3.5" customHeight="1">
      <c r="A56" s="39"/>
      <c r="B56" s="87"/>
      <c r="C56" s="87"/>
      <c r="D56" s="94"/>
      <c r="E56" s="95"/>
      <c r="F56" s="95"/>
      <c r="G56" s="87"/>
      <c r="H56" s="87"/>
      <c r="I56" s="88"/>
      <c r="J56" s="95"/>
      <c r="K56" s="95"/>
      <c r="L56" s="95"/>
      <c r="M56" s="95"/>
      <c r="N56" s="95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3.5" customHeight="1">
      <c r="A57" s="39"/>
      <c r="B57" s="87"/>
      <c r="C57" s="87"/>
      <c r="D57" s="94"/>
      <c r="E57" s="95"/>
      <c r="F57" s="95"/>
      <c r="G57" s="87"/>
      <c r="H57" s="87"/>
      <c r="I57" s="88"/>
      <c r="J57" s="95"/>
      <c r="K57" s="95"/>
      <c r="L57" s="95"/>
      <c r="M57" s="95"/>
      <c r="N57" s="95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3.5" customHeight="1">
      <c r="A58" s="39"/>
      <c r="B58" s="87"/>
      <c r="C58" s="87"/>
      <c r="D58" s="88"/>
      <c r="E58" s="95"/>
      <c r="F58" s="95"/>
      <c r="G58" s="87"/>
      <c r="H58" s="87"/>
      <c r="I58" s="88"/>
      <c r="J58" s="95"/>
      <c r="K58" s="95"/>
      <c r="L58" s="95"/>
      <c r="M58" s="95"/>
      <c r="N58" s="95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3.5" customHeight="1">
      <c r="A59" s="39"/>
      <c r="B59" s="87"/>
      <c r="C59" s="87"/>
      <c r="D59" s="88"/>
      <c r="E59" s="95"/>
      <c r="F59" s="95"/>
      <c r="G59" s="87"/>
      <c r="H59" s="87"/>
      <c r="I59" s="88"/>
      <c r="J59" s="95"/>
      <c r="K59" s="95"/>
      <c r="L59" s="95"/>
      <c r="M59" s="95"/>
      <c r="N59" s="95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3.5" customHeight="1">
      <c r="A60" s="39"/>
      <c r="B60" s="87"/>
      <c r="C60" s="87"/>
      <c r="D60" s="88"/>
      <c r="E60" s="95"/>
      <c r="F60" s="95"/>
      <c r="G60" s="87"/>
      <c r="H60" s="87"/>
      <c r="I60" s="88"/>
      <c r="J60" s="95"/>
      <c r="K60" s="95"/>
      <c r="L60" s="95"/>
      <c r="M60" s="95"/>
      <c r="N60" s="95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3.5" customHeight="1">
      <c r="A61" s="39"/>
      <c r="B61" s="87"/>
      <c r="C61" s="87"/>
      <c r="D61" s="88"/>
      <c r="E61" s="95"/>
      <c r="F61" s="95"/>
      <c r="G61" s="87"/>
      <c r="H61" s="87"/>
      <c r="I61" s="88"/>
      <c r="J61" s="95"/>
      <c r="K61" s="95"/>
      <c r="L61" s="95"/>
      <c r="M61" s="95"/>
      <c r="N61" s="95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3.5" customHeight="1">
      <c r="A62" s="39"/>
      <c r="B62" s="87"/>
      <c r="C62" s="87"/>
      <c r="D62" s="88"/>
      <c r="E62" s="95"/>
      <c r="F62" s="95"/>
      <c r="G62" s="87"/>
      <c r="H62" s="87"/>
      <c r="I62" s="88"/>
      <c r="J62" s="95"/>
      <c r="K62" s="95"/>
      <c r="L62" s="95"/>
      <c r="M62" s="95"/>
      <c r="N62" s="95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3.5" customHeight="1">
      <c r="A63" s="39"/>
      <c r="B63" s="87"/>
      <c r="C63" s="87"/>
      <c r="D63" s="88"/>
      <c r="E63" s="95"/>
      <c r="F63" s="95"/>
      <c r="G63" s="87"/>
      <c r="H63" s="87"/>
      <c r="I63" s="88"/>
      <c r="J63" s="95"/>
      <c r="K63" s="95"/>
      <c r="L63" s="95"/>
      <c r="M63" s="95"/>
      <c r="N63" s="95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3.5" customHeight="1">
      <c r="A64" s="39"/>
      <c r="B64" s="87"/>
      <c r="C64" s="87"/>
      <c r="D64" s="88"/>
      <c r="E64" s="95"/>
      <c r="F64" s="95"/>
      <c r="G64" s="87"/>
      <c r="H64" s="87"/>
      <c r="I64" s="88"/>
      <c r="J64" s="95"/>
      <c r="K64" s="95"/>
      <c r="L64" s="95"/>
      <c r="M64" s="95"/>
      <c r="N64" s="95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3.5" customHeight="1">
      <c r="A65" s="39"/>
      <c r="B65" s="87"/>
      <c r="C65" s="87"/>
      <c r="D65" s="88"/>
      <c r="E65" s="95"/>
      <c r="F65" s="95"/>
      <c r="G65" s="87"/>
      <c r="H65" s="87"/>
      <c r="I65" s="88"/>
      <c r="J65" s="95"/>
      <c r="K65" s="95"/>
      <c r="L65" s="95"/>
      <c r="M65" s="95"/>
      <c r="N65" s="95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3.5" customHeight="1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3.5" customHeight="1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3.5" customHeight="1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3.5" customHeight="1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3.5" customHeight="1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3.5" customHeight="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3.5" customHeight="1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3.5" customHeight="1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3.5" customHeight="1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3.5" customHeight="1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3.5" customHeight="1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3.5" customHeight="1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3.5" customHeight="1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3.5" customHeight="1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3.5" customHeight="1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3.5" customHeight="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3.5" customHeight="1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3.5" customHeight="1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3.5" customHeight="1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3.5" customHeight="1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3.5" customHeight="1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3.5" customHeight="1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3.5" customHeight="1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3.5" customHeight="1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3.5" customHeight="1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3.5" customHeight="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3.5" customHeight="1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3.5" customHeight="1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3.5" customHeight="1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3.5" customHeight="1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3.5" customHeight="1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3.5" customHeight="1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3.5" customHeight="1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3.5" customHeight="1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3.5" customHeight="1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3.5" customHeight="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3.5" customHeight="1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3.5" customHeight="1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3.5" customHeight="1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3.5" customHeight="1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3.5" customHeight="1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3.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3.5" customHeight="1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3.5" customHeight="1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3.5" customHeight="1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3.5" customHeight="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3.5" customHeight="1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3.5" customHeight="1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3.5" customHeight="1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3.5" customHeight="1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3.5" customHeight="1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3.5" customHeight="1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3.5" customHeight="1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3.5" customHeight="1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3.5" customHeight="1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3.5" customHeight="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3.5" customHeight="1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3.5" customHeight="1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3.5" customHeight="1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3.5" customHeight="1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3.5" customHeight="1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3.5" customHeight="1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3.5" customHeight="1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3.5" customHeight="1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3.5" customHeight="1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3.5" customHeight="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3.5" customHeight="1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3.5" customHeight="1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3.5" customHeight="1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3.5" customHeight="1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3.5" customHeight="1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3.5" customHeight="1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3.5" customHeight="1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3.5" customHeight="1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3.5" customHeight="1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3.5" customHeight="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3.5" customHeight="1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3.5" customHeight="1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3.5" customHeight="1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3.5" customHeight="1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3.5" customHeight="1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3.5" customHeight="1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3.5" customHeight="1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3.5" customHeight="1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3.5" customHeight="1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3.5" customHeight="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3.5" customHeight="1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3.5" customHeight="1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3.5" customHeight="1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3.5" customHeight="1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3.5" customHeight="1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3.5" customHeight="1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3.5" customHeight="1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3.5" customHeight="1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3.5" customHeight="1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3.5" customHeight="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3.5" customHeight="1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3.5" customHeight="1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3.5" customHeight="1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3.5" customHeight="1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3.5" customHeight="1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3.5" customHeight="1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3.5" customHeight="1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3.5" customHeight="1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3.5" customHeight="1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3.5" customHeight="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3.5" customHeight="1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3.5" customHeight="1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3.5" customHeight="1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3.5" customHeight="1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3.5" customHeight="1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3.5" customHeight="1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3.5" customHeight="1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3.5" customHeight="1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3.5" customHeight="1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3.5" customHeight="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3.5" customHeight="1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3.5" customHeight="1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3.5" customHeight="1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3.5" customHeight="1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3.5" customHeight="1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3.5" customHeight="1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3.5" customHeight="1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3.5" customHeight="1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3.5" customHeight="1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3.5" customHeight="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3.5" customHeight="1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3.5" customHeight="1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3.5" customHeight="1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3.5" customHeight="1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3.5" customHeight="1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3.5" customHeight="1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3.5" customHeight="1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3.5" customHeight="1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3.5" customHeight="1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3.5" customHeight="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3.5" customHeight="1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3.5" customHeight="1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3.5" customHeight="1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3.5" customHeight="1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3.5" customHeight="1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3.5" customHeight="1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3.5" customHeight="1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3.5" customHeight="1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3.5" customHeight="1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3.5" customHeight="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3.5" customHeight="1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3.5" customHeight="1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3.5" customHeight="1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3.5" customHeight="1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3.5" customHeight="1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3.5" customHeight="1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3.5" customHeight="1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3.5" customHeight="1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3.5" customHeight="1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3.5" customHeight="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3.5" customHeight="1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3.5" customHeight="1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3.5" customHeight="1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3.5" customHeight="1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3.5" customHeight="1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3.5" customHeight="1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3.5" customHeight="1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3.5" customHeight="1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3.5" customHeight="1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3.5" customHeight="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3.5" customHeight="1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3.5" customHeight="1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3.5" customHeight="1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3.5" customHeight="1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3.5" customHeight="1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3.5" customHeight="1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3.5" customHeight="1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3.5" customHeight="1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3.5" customHeight="1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3.5" customHeight="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3.5" customHeight="1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3.5" customHeight="1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3.5" customHeight="1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3.5" customHeight="1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3.5" customHeight="1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3.5" customHeight="1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3.5" customHeight="1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3.5" customHeight="1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3.5" customHeight="1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3.5" customHeight="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3.5" customHeight="1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3.5" customHeight="1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3.5" customHeight="1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3.5" customHeight="1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3.5" customHeight="1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3.5" customHeight="1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3.5" customHeight="1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3.5" customHeight="1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3.5" customHeight="1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3.5" customHeight="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3.5" customHeight="1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3.5" customHeight="1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3.5" customHeight="1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3.5" customHeight="1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3.5" customHeight="1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3.5" customHeight="1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3.5" customHeight="1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3.5" customHeight="1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3.5" customHeight="1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3.5" customHeight="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3.5" customHeight="1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3.5" customHeight="1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3.5" customHeight="1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3.5" customHeight="1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3.5" customHeight="1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3.5" customHeight="1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3.5" customHeight="1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3.5" customHeight="1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3.5" customHeight="1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3.5" customHeight="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3.5" customHeight="1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3.5" customHeight="1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3.5" customHeight="1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3.5" customHeight="1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3.5" customHeight="1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3.5" customHeight="1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3.5" customHeight="1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3.5" customHeight="1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3.5" customHeight="1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3.5" customHeight="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3.5" customHeight="1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3.5" customHeight="1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3.5" customHeight="1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3.5" customHeight="1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3.5" customHeight="1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3.5" customHeight="1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3.5" customHeight="1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3.5" customHeight="1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3.5" customHeight="1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3.5" customHeight="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3.5" customHeight="1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3.5" customHeight="1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3.5" customHeight="1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3.5" customHeight="1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3.5" customHeight="1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3.5" customHeight="1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3.5" customHeight="1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3.5" customHeight="1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3.5" customHeight="1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3.5" customHeight="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3.5" customHeight="1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3.5" customHeight="1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3.5" customHeight="1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3.5" customHeight="1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3.5" customHeight="1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3.5" customHeight="1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3.5" customHeight="1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3.5" customHeight="1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3.5" customHeight="1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3.5" customHeight="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3.5" customHeight="1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3.5" customHeight="1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3.5" customHeight="1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3.5" customHeight="1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3.5" customHeight="1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3.5" customHeight="1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3.5" customHeight="1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3.5" customHeight="1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3.5" customHeight="1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3.5" customHeight="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3.5" customHeight="1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3.5" customHeight="1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3.5" customHeight="1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3.5" customHeight="1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3.5" customHeight="1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3.5" customHeight="1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3.5" customHeight="1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3.5" customHeight="1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3.5" customHeight="1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3.5" customHeight="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3.5" customHeight="1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3.5" customHeight="1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3.5" customHeight="1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3.5" customHeight="1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3.5" customHeight="1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3.5" customHeight="1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3.5" customHeight="1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3.5" customHeight="1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3.5" customHeight="1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3.5" customHeight="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3.5" customHeight="1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3.5" customHeight="1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3.5" customHeight="1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3.5" customHeight="1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3.5" customHeight="1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3.5" customHeight="1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3.5" customHeight="1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3.5" customHeight="1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3.5" customHeight="1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3.5" customHeight="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3.5" customHeight="1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3.5" customHeight="1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3.5" customHeight="1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3.5" customHeight="1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3.5" customHeight="1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3.5" customHeight="1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3.5" customHeight="1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3.5" customHeight="1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3.5" customHeight="1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3.5" customHeight="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3.5" customHeight="1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3.5" customHeight="1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3.5" customHeight="1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3.5" customHeight="1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3.5" customHeight="1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3.5" customHeight="1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3.5" customHeight="1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3.5" customHeight="1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3.5" customHeight="1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3.5" customHeight="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3.5" customHeight="1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3.5" customHeight="1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3.5" customHeight="1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3.5" customHeight="1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3.5" customHeight="1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3.5" customHeight="1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3.5" customHeight="1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3.5" customHeight="1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3.5" customHeight="1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3.5" customHeight="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3.5" customHeight="1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3.5" customHeight="1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3.5" customHeight="1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3.5" customHeight="1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3.5" customHeight="1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3.5" customHeight="1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3.5" customHeight="1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3.5" customHeight="1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3.5" customHeight="1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3.5" customHeight="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3.5" customHeight="1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3.5" customHeight="1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3.5" customHeight="1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3.5" customHeight="1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3.5" customHeight="1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3.5" customHeight="1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3.5" customHeight="1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3.5" customHeight="1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3.5" customHeight="1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3.5" customHeight="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3.5" customHeight="1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3.5" customHeight="1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3.5" customHeight="1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3.5" customHeight="1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3.5" customHeight="1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3.5" customHeight="1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3.5" customHeight="1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3.5" customHeight="1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3.5" customHeight="1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3.5" customHeight="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3.5" customHeight="1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3.5" customHeight="1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3.5" customHeight="1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3.5" customHeight="1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3.5" customHeight="1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3.5" customHeight="1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3.5" customHeight="1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3.5" customHeight="1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3.5" customHeight="1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3.5" customHeight="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3.5" customHeight="1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3.5" customHeight="1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3.5" customHeight="1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3.5" customHeight="1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3.5" customHeight="1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3.5" customHeight="1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3.5" customHeight="1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3.5" customHeight="1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3.5" customHeight="1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3.5" customHeight="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3.5" customHeight="1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3.5" customHeight="1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3.5" customHeight="1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3.5" customHeight="1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3.5" customHeight="1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3.5" customHeight="1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3.5" customHeight="1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3.5" customHeight="1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3.5" customHeight="1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3.5" customHeight="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3.5" customHeight="1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3.5" customHeight="1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3.5" customHeight="1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3.5" customHeight="1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3.5" customHeight="1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3.5" customHeight="1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3.5" customHeight="1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3.5" customHeight="1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3.5" customHeight="1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3.5" customHeight="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3.5" customHeight="1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3.5" customHeight="1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3.5" customHeight="1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3.5" customHeight="1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3.5" customHeight="1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3.5" customHeight="1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3.5" customHeight="1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3.5" customHeight="1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3.5" customHeight="1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3.5" customHeight="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3.5" customHeight="1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3.5" customHeight="1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3.5" customHeight="1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3.5" customHeight="1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3.5" customHeight="1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3.5" customHeight="1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3.5" customHeight="1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3.5" customHeight="1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3.5" customHeight="1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3.5" customHeight="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3.5" customHeight="1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3.5" customHeight="1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3.5" customHeight="1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3.5" customHeight="1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3.5" customHeight="1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3.5" customHeight="1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3.5" customHeight="1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3.5" customHeight="1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3.5" customHeight="1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3.5" customHeight="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3.5" customHeight="1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3.5" customHeight="1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3.5" customHeight="1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3.5" customHeight="1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3.5" customHeight="1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3.5" customHeight="1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3.5" customHeight="1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3.5" customHeight="1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3.5" customHeight="1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3.5" customHeight="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3.5" customHeight="1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3.5" customHeight="1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3.5" customHeight="1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3.5" customHeight="1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3.5" customHeight="1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3.5" customHeight="1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3.5" customHeight="1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3.5" customHeight="1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3.5" customHeight="1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3.5" customHeight="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3.5" customHeight="1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3.5" customHeight="1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3.5" customHeight="1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3.5" customHeight="1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3.5" customHeight="1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3.5" customHeight="1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3.5" customHeight="1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3.5" customHeight="1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3.5" customHeight="1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3.5" customHeight="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3.5" customHeight="1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3.5" customHeight="1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3.5" customHeight="1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3.5" customHeight="1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3.5" customHeight="1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3.5" customHeight="1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3.5" customHeight="1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3.5" customHeight="1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3.5" customHeight="1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3.5" customHeight="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3.5" customHeight="1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3.5" customHeight="1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3.5" customHeight="1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3.5" customHeight="1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3.5" customHeight="1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3.5" customHeight="1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3.5" customHeight="1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3.5" customHeight="1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3.5" customHeight="1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3.5" customHeight="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3.5" customHeight="1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3.5" customHeight="1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3.5" customHeight="1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3.5" customHeight="1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3.5" customHeight="1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3.5" customHeight="1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3.5" customHeight="1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3.5" customHeight="1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3.5" customHeight="1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3.5" customHeight="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3.5" customHeight="1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3.5" customHeight="1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3.5" customHeight="1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3.5" customHeight="1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3.5" customHeight="1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3.5" customHeight="1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3.5" customHeight="1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3.5" customHeight="1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3.5" customHeight="1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3.5" customHeight="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3.5" customHeight="1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3.5" customHeight="1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3.5" customHeight="1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3.5" customHeight="1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3.5" customHeight="1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3.5" customHeight="1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3.5" customHeight="1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3.5" customHeight="1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3.5" customHeight="1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3.5" customHeight="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3.5" customHeight="1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3.5" customHeight="1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3.5" customHeight="1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3.5" customHeight="1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3.5" customHeight="1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3.5" customHeight="1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3.5" customHeight="1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3.5" customHeight="1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3.5" customHeight="1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3.5" customHeight="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3.5" customHeight="1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3.5" customHeight="1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3.5" customHeight="1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3.5" customHeight="1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3.5" customHeight="1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3.5" customHeight="1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3.5" customHeight="1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3.5" customHeight="1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3.5" customHeight="1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3.5" customHeight="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3.5" customHeight="1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3.5" customHeight="1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3.5" customHeight="1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3.5" customHeight="1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3.5" customHeight="1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3.5" customHeight="1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3.5" customHeight="1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3.5" customHeight="1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3.5" customHeight="1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3.5" customHeight="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3.5" customHeight="1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3.5" customHeight="1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3.5" customHeight="1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3.5" customHeight="1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3.5" customHeight="1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3.5" customHeight="1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3.5" customHeight="1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3.5" customHeight="1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3.5" customHeight="1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3.5" customHeight="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3.5" customHeight="1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3.5" customHeight="1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3.5" customHeight="1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3.5" customHeight="1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3.5" customHeight="1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3.5" customHeight="1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3.5" customHeight="1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3.5" customHeight="1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3.5" customHeight="1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3.5" customHeight="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3.5" customHeight="1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3.5" customHeight="1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3.5" customHeight="1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3.5" customHeight="1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3.5" customHeight="1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3.5" customHeight="1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3.5" customHeight="1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3.5" customHeight="1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3.5" customHeight="1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3.5" customHeight="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3.5" customHeight="1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3.5" customHeight="1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3.5" customHeight="1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3.5" customHeight="1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3.5" customHeight="1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3.5" customHeight="1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3.5" customHeight="1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3.5" customHeight="1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3.5" customHeight="1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3.5" customHeight="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3.5" customHeight="1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3.5" customHeight="1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3.5" customHeight="1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3.5" customHeight="1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3.5" customHeight="1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3.5" customHeight="1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3.5" customHeight="1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3.5" customHeight="1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3.5" customHeight="1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3.5" customHeight="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3.5" customHeight="1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3.5" customHeight="1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3.5" customHeight="1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3.5" customHeight="1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3.5" customHeight="1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3.5" customHeight="1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3.5" customHeight="1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3.5" customHeight="1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3.5" customHeight="1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3.5" customHeight="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3.5" customHeight="1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3.5" customHeight="1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3.5" customHeight="1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3.5" customHeight="1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3.5" customHeight="1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3.5" customHeight="1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3.5" customHeight="1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3.5" customHeight="1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3.5" customHeight="1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3.5" customHeight="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3.5" customHeight="1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3.5" customHeight="1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3.5" customHeight="1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3.5" customHeight="1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3.5" customHeight="1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3.5" customHeight="1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3.5" customHeight="1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3.5" customHeight="1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3.5" customHeight="1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3.5" customHeight="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3.5" customHeight="1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3.5" customHeight="1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3.5" customHeight="1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3.5" customHeight="1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3.5" customHeight="1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3.5" customHeight="1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3.5" customHeight="1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3.5" customHeight="1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3.5" customHeight="1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3.5" customHeight="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3.5" customHeight="1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3.5" customHeight="1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3.5" customHeight="1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3.5" customHeight="1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3.5" customHeight="1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3.5" customHeight="1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3.5" customHeight="1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3.5" customHeight="1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3.5" customHeight="1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3.5" customHeight="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3.5" customHeight="1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3.5" customHeight="1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3.5" customHeight="1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3.5" customHeight="1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3.5" customHeight="1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3.5" customHeight="1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3.5" customHeight="1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3.5" customHeight="1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3.5" customHeight="1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3.5" customHeight="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3.5" customHeight="1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3.5" customHeight="1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3.5" customHeight="1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3.5" customHeight="1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3.5" customHeight="1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3.5" customHeight="1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3.5" customHeight="1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3.5" customHeight="1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3.5" customHeight="1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3.5" customHeight="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3.5" customHeight="1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3.5" customHeight="1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3.5" customHeight="1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3.5" customHeight="1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3.5" customHeight="1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3.5" customHeight="1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3.5" customHeight="1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3.5" customHeight="1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3.5" customHeight="1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3.5" customHeight="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3.5" customHeight="1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3.5" customHeight="1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3.5" customHeight="1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3.5" customHeight="1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3.5" customHeight="1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3.5" customHeight="1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3.5" customHeight="1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3.5" customHeight="1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3.5" customHeight="1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3.5" customHeight="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3.5" customHeight="1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3.5" customHeight="1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3.5" customHeight="1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3.5" customHeight="1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3.5" customHeight="1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3.5" customHeight="1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3.5" customHeight="1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3.5" customHeight="1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3.5" customHeight="1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3.5" customHeight="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3.5" customHeight="1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3.5" customHeight="1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3.5" customHeight="1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3.5" customHeight="1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3.5" customHeight="1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3.5" customHeight="1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3.5" customHeight="1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3.5" customHeight="1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3.5" customHeight="1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3.5" customHeight="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3.5" customHeight="1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3.5" customHeight="1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3.5" customHeight="1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3.5" customHeight="1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3.5" customHeight="1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3.5" customHeight="1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3.5" customHeight="1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3.5" customHeight="1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3.5" customHeight="1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3.5" customHeight="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3.5" customHeight="1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3.5" customHeight="1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3.5" customHeight="1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3.5" customHeight="1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3.5" customHeight="1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3.5" customHeight="1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3.5" customHeight="1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3.5" customHeight="1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3.5" customHeight="1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3.5" customHeight="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3.5" customHeight="1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3.5" customHeight="1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3.5" customHeight="1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3.5" customHeight="1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3.5" customHeight="1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3.5" customHeight="1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3.5" customHeight="1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3.5" customHeight="1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3.5" customHeight="1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3.5" customHeight="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3.5" customHeight="1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3.5" customHeight="1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3.5" customHeight="1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3.5" customHeight="1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3.5" customHeight="1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3.5" customHeight="1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3.5" customHeight="1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3.5" customHeight="1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3.5" customHeight="1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3.5" customHeight="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3.5" customHeight="1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3.5" customHeight="1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3.5" customHeight="1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3.5" customHeight="1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3.5" customHeight="1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3.5" customHeight="1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3.5" customHeight="1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3.5" customHeight="1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3.5" customHeight="1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3.5" customHeight="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3.5" customHeight="1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3.5" customHeight="1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3.5" customHeight="1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3.5" customHeight="1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3.5" customHeight="1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3.5" customHeight="1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3.5" customHeight="1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3.5" customHeight="1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3.5" customHeight="1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3.5" customHeight="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3.5" customHeight="1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3.5" customHeight="1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3.5" customHeight="1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3.5" customHeight="1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3.5" customHeight="1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3.5" customHeight="1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3.5" customHeight="1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3.5" customHeight="1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3.5" customHeight="1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3.5" customHeight="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3.5" customHeight="1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3.5" customHeight="1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3.5" customHeight="1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3.5" customHeight="1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3.5" customHeight="1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3.5" customHeight="1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3.5" customHeight="1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3.5" customHeight="1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3.5" customHeight="1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3.5" customHeight="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3.5" customHeight="1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3.5" customHeight="1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3.5" customHeight="1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3.5" customHeight="1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3.5" customHeight="1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3.5" customHeight="1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3.5" customHeight="1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3.5" customHeight="1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3.5" customHeight="1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3.5" customHeight="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3.5" customHeight="1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3.5" customHeight="1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3.5" customHeight="1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3.5" customHeight="1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3.5" customHeight="1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3.5" customHeight="1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3.5" customHeight="1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3.5" customHeight="1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3.5" customHeight="1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3.5" customHeight="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3.5" customHeight="1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3.5" customHeight="1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3.5" customHeight="1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3.5" customHeight="1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3.5" customHeight="1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3.5" customHeight="1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3.5" customHeight="1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3.5" customHeight="1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3.5" customHeight="1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3.5" customHeight="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3.5" customHeight="1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3.5" customHeight="1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3.5" customHeight="1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3.5" customHeight="1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3.5" customHeight="1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3.5" customHeight="1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3.5" customHeight="1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3.5" customHeight="1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3.5" customHeight="1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3.5" customHeight="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3.5" customHeight="1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3.5" customHeight="1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3.5" customHeight="1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3.5" customHeight="1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3.5" customHeight="1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3.5" customHeight="1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3.5" customHeight="1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3.5" customHeight="1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3.5" customHeight="1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3.5" customHeight="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3.5" customHeight="1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3.5" customHeight="1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3.5" customHeight="1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3.5" customHeight="1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3.5" customHeight="1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3.5" customHeight="1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3.5" customHeight="1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3.5" customHeight="1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3.5" customHeight="1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3.5" customHeight="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3.5" customHeight="1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3.5" customHeight="1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3.5" customHeight="1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3.5" customHeight="1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3.5" customHeight="1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3.5" customHeight="1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3.5" customHeight="1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3.5" customHeight="1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3.5" customHeight="1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3.5" customHeight="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3.5" customHeight="1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3.5" customHeight="1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3.5" customHeight="1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3.5" customHeight="1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3.5" customHeight="1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3.5" customHeight="1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3.5" customHeight="1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3.5" customHeight="1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3.5" customHeight="1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3.5" customHeight="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3.5" customHeight="1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3.5" customHeight="1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3.5" customHeight="1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3.5" customHeight="1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3.5" customHeight="1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3.5" customHeight="1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3.5" customHeight="1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3.5" customHeight="1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3.5" customHeight="1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3.5" customHeight="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3.5" customHeight="1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3.5" customHeight="1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3.5" customHeight="1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3.5" customHeight="1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3.5" customHeight="1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3.5" customHeight="1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3.5" customHeight="1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3.5" customHeight="1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3.5" customHeight="1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3.5" customHeight="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3.5" customHeight="1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3.5" customHeight="1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3.5" customHeight="1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3.5" customHeight="1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3.5" customHeight="1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3.5" customHeight="1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3.5" customHeight="1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3.5" customHeight="1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3.5" customHeight="1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3.5" customHeight="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3.5" customHeight="1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3.5" customHeight="1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3.5" customHeight="1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3.5" customHeight="1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3.5" customHeight="1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3.5" customHeight="1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3.5" customHeight="1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3.5" customHeight="1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3.5" customHeight="1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3.5" customHeight="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3.5" customHeight="1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3.5" customHeight="1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3.5" customHeight="1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3.5" customHeight="1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3.5" customHeight="1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3.5" customHeight="1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3.5" customHeight="1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3.5" customHeight="1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3.5" customHeight="1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3.5" customHeight="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3.5" customHeight="1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3.5" customHeight="1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3.5" customHeight="1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3.5" customHeight="1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3.5" customHeight="1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3.5" customHeight="1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3.5" customHeight="1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3.5" customHeight="1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3.5" customHeight="1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3.5" customHeight="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3.5" customHeight="1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3.5" customHeight="1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3.5" customHeight="1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3.5" customHeight="1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3.5" customHeight="1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3.5" customHeight="1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3.5" customHeight="1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3.5" customHeight="1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3.5" customHeight="1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3.5" customHeight="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3.5" customHeight="1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3.5" customHeight="1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3.5" customHeight="1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3.5" customHeight="1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3.5" customHeight="1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3.5" customHeight="1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3.5" customHeight="1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3.5" customHeight="1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3.5" customHeight="1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34">
    <mergeCell ref="D1:F1"/>
    <mergeCell ref="E6:F6"/>
    <mergeCell ref="E10:E11"/>
    <mergeCell ref="J10:J11"/>
    <mergeCell ref="E12:G12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A30:B30"/>
    <mergeCell ref="D30:E30"/>
    <mergeCell ref="A38:C38"/>
    <mergeCell ref="A39:B39"/>
    <mergeCell ref="A40:C40"/>
    <mergeCell ref="A41:B41"/>
    <mergeCell ref="A31:B31"/>
    <mergeCell ref="A32:B32"/>
    <mergeCell ref="A33:B33"/>
    <mergeCell ref="A34:C34"/>
    <mergeCell ref="A35:C35"/>
    <mergeCell ref="A36:B36"/>
    <mergeCell ref="A37:B37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222" t="s">
        <v>0</v>
      </c>
      <c r="C3" s="213"/>
      <c r="D3" s="213"/>
      <c r="E3" s="213"/>
      <c r="F3" s="213"/>
      <c r="G3" s="213"/>
      <c r="H3" s="213"/>
      <c r="I3" s="213"/>
      <c r="J3" s="213"/>
      <c r="K3" s="357" t="s">
        <v>40</v>
      </c>
      <c r="L3" s="213"/>
      <c r="M3" s="213"/>
      <c r="N3" s="213"/>
      <c r="O3" s="213"/>
      <c r="P3" s="213"/>
      <c r="Q3" s="213"/>
      <c r="R3" s="213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224" t="s">
        <v>2</v>
      </c>
      <c r="C6" s="225"/>
      <c r="D6" s="226"/>
      <c r="E6" s="186"/>
      <c r="F6" s="25"/>
      <c r="G6" s="28"/>
      <c r="H6" s="3"/>
      <c r="I6" s="3"/>
      <c r="J6" s="224" t="s">
        <v>3</v>
      </c>
      <c r="K6" s="225"/>
      <c r="L6" s="227" t="s">
        <v>41</v>
      </c>
      <c r="M6" s="186"/>
      <c r="N6" s="3"/>
      <c r="O6" s="3"/>
      <c r="P6" s="3"/>
      <c r="Q6" s="4" t="s">
        <v>5</v>
      </c>
      <c r="R6" s="5">
        <f ca="1">TODAY()</f>
        <v>46059</v>
      </c>
      <c r="S6" s="212"/>
      <c r="T6" s="213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513" t="s">
        <v>116</v>
      </c>
      <c r="C8" s="217"/>
      <c r="D8" s="217"/>
      <c r="E8" s="217"/>
      <c r="F8" s="217"/>
      <c r="G8" s="217"/>
      <c r="H8" s="202"/>
      <c r="I8" s="6"/>
      <c r="J8" s="491" t="s">
        <v>117</v>
      </c>
      <c r="K8" s="217"/>
      <c r="L8" s="217"/>
      <c r="M8" s="217"/>
      <c r="N8" s="202"/>
      <c r="O8" s="6"/>
      <c r="P8" s="343" t="s">
        <v>8</v>
      </c>
      <c r="Q8" s="217"/>
      <c r="R8" s="202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96" t="s">
        <v>9</v>
      </c>
      <c r="C9" s="97" t="s">
        <v>10</v>
      </c>
      <c r="D9" s="97" t="s">
        <v>118</v>
      </c>
      <c r="E9" s="98" t="s">
        <v>85</v>
      </c>
      <c r="F9" s="97" t="s">
        <v>119</v>
      </c>
      <c r="G9" s="97" t="s">
        <v>120</v>
      </c>
      <c r="H9" s="99" t="s">
        <v>13</v>
      </c>
      <c r="I9" s="10"/>
      <c r="J9" s="100" t="s">
        <v>121</v>
      </c>
      <c r="K9" s="97" t="s">
        <v>90</v>
      </c>
      <c r="L9" s="97" t="s">
        <v>122</v>
      </c>
      <c r="M9" s="97" t="s">
        <v>123</v>
      </c>
      <c r="N9" s="99" t="s">
        <v>13</v>
      </c>
      <c r="O9" s="10"/>
      <c r="P9" s="101"/>
      <c r="Q9" s="102"/>
      <c r="R9" s="103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495">
        <v>1</v>
      </c>
      <c r="C10" s="365" t="s">
        <v>124</v>
      </c>
      <c r="D10" s="484" t="s">
        <v>125</v>
      </c>
      <c r="E10" s="496" t="s">
        <v>126</v>
      </c>
      <c r="F10" s="484">
        <v>77</v>
      </c>
      <c r="G10" s="365">
        <v>100</v>
      </c>
      <c r="H10" s="485">
        <f>G10*F10</f>
        <v>7700</v>
      </c>
      <c r="I10" s="12"/>
      <c r="J10" s="482">
        <v>425</v>
      </c>
      <c r="K10" s="484">
        <v>650</v>
      </c>
      <c r="L10" s="484">
        <v>950</v>
      </c>
      <c r="M10" s="484">
        <v>650</v>
      </c>
      <c r="N10" s="485">
        <f>SUM(J10:M10)</f>
        <v>2675</v>
      </c>
      <c r="O10" s="12"/>
      <c r="P10" s="478" t="s">
        <v>127</v>
      </c>
      <c r="Q10" s="345"/>
      <c r="R10" s="510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483"/>
      <c r="C11" s="259"/>
      <c r="D11" s="259"/>
      <c r="E11" s="262"/>
      <c r="F11" s="259"/>
      <c r="G11" s="259"/>
      <c r="H11" s="486"/>
      <c r="I11" s="12"/>
      <c r="J11" s="483"/>
      <c r="K11" s="259"/>
      <c r="L11" s="259"/>
      <c r="M11" s="259"/>
      <c r="N11" s="486"/>
      <c r="O11" s="12"/>
      <c r="P11" s="242"/>
      <c r="Q11" s="213"/>
      <c r="R11" s="51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497">
        <v>2</v>
      </c>
      <c r="C12" s="267" t="s">
        <v>128</v>
      </c>
      <c r="D12" s="498" t="s">
        <v>125</v>
      </c>
      <c r="E12" s="499" t="s">
        <v>129</v>
      </c>
      <c r="F12" s="498">
        <v>59</v>
      </c>
      <c r="G12" s="267">
        <v>100</v>
      </c>
      <c r="H12" s="489">
        <f>G12*F12</f>
        <v>5900</v>
      </c>
      <c r="I12" s="12"/>
      <c r="J12" s="508">
        <v>425</v>
      </c>
      <c r="K12" s="498">
        <v>650</v>
      </c>
      <c r="L12" s="498">
        <v>950</v>
      </c>
      <c r="M12" s="467"/>
      <c r="N12" s="489">
        <f>SUM(J12:M13)</f>
        <v>2025</v>
      </c>
      <c r="O12" s="12"/>
      <c r="P12" s="242"/>
      <c r="Q12" s="213"/>
      <c r="R12" s="51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483"/>
      <c r="C13" s="259"/>
      <c r="D13" s="259"/>
      <c r="E13" s="500"/>
      <c r="F13" s="259"/>
      <c r="G13" s="259"/>
      <c r="H13" s="486"/>
      <c r="I13" s="12"/>
      <c r="J13" s="483"/>
      <c r="K13" s="259"/>
      <c r="L13" s="259"/>
      <c r="M13" s="259"/>
      <c r="N13" s="486"/>
      <c r="O13" s="12"/>
      <c r="P13" s="248"/>
      <c r="Q13" s="346"/>
      <c r="R13" s="512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495">
        <v>3</v>
      </c>
      <c r="C14" s="365" t="s">
        <v>130</v>
      </c>
      <c r="D14" s="484" t="s">
        <v>131</v>
      </c>
      <c r="E14" s="496" t="s">
        <v>132</v>
      </c>
      <c r="F14" s="484">
        <v>51</v>
      </c>
      <c r="G14" s="365">
        <v>100</v>
      </c>
      <c r="H14" s="485">
        <f>G14*F14</f>
        <v>5100</v>
      </c>
      <c r="I14" s="12"/>
      <c r="J14" s="482">
        <v>425</v>
      </c>
      <c r="K14" s="484">
        <v>650</v>
      </c>
      <c r="L14" s="484">
        <v>950</v>
      </c>
      <c r="M14" s="467"/>
      <c r="N14" s="485">
        <f>SUM(J14:M15)</f>
        <v>2025</v>
      </c>
      <c r="O14" s="12"/>
      <c r="P14" s="478" t="s">
        <v>133</v>
      </c>
      <c r="Q14" s="247"/>
      <c r="R14" s="487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483"/>
      <c r="C15" s="259"/>
      <c r="D15" s="259"/>
      <c r="E15" s="262"/>
      <c r="F15" s="259"/>
      <c r="G15" s="259"/>
      <c r="H15" s="486"/>
      <c r="I15" s="12"/>
      <c r="J15" s="483"/>
      <c r="K15" s="259"/>
      <c r="L15" s="259"/>
      <c r="M15" s="259"/>
      <c r="N15" s="486"/>
      <c r="O15" s="12"/>
      <c r="P15" s="242"/>
      <c r="Q15" s="479"/>
      <c r="R15" s="488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497">
        <v>4</v>
      </c>
      <c r="C16" s="267" t="s">
        <v>134</v>
      </c>
      <c r="D16" s="498" t="s">
        <v>131</v>
      </c>
      <c r="E16" s="499" t="s">
        <v>135</v>
      </c>
      <c r="F16" s="498">
        <v>75</v>
      </c>
      <c r="G16" s="267">
        <v>100</v>
      </c>
      <c r="H16" s="489">
        <f>G16*F16</f>
        <v>7500</v>
      </c>
      <c r="I16" s="12"/>
      <c r="J16" s="508">
        <v>425</v>
      </c>
      <c r="K16" s="498">
        <v>650</v>
      </c>
      <c r="L16" s="498">
        <v>950</v>
      </c>
      <c r="M16" s="467"/>
      <c r="N16" s="489">
        <f>SUM(J16:M17)</f>
        <v>2025</v>
      </c>
      <c r="O16" s="12"/>
      <c r="P16" s="242"/>
      <c r="Q16" s="479"/>
      <c r="R16" s="488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483"/>
      <c r="C17" s="259"/>
      <c r="D17" s="259"/>
      <c r="E17" s="500"/>
      <c r="F17" s="259"/>
      <c r="G17" s="259"/>
      <c r="H17" s="486"/>
      <c r="I17" s="104"/>
      <c r="J17" s="483"/>
      <c r="K17" s="259"/>
      <c r="L17" s="259"/>
      <c r="M17" s="259"/>
      <c r="N17" s="486"/>
      <c r="O17" s="104"/>
      <c r="P17" s="248"/>
      <c r="Q17" s="249"/>
      <c r="R17" s="486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501" t="s">
        <v>127</v>
      </c>
      <c r="C18" s="502"/>
      <c r="D18" s="502"/>
      <c r="E18" s="502"/>
      <c r="F18" s="502"/>
      <c r="G18" s="503"/>
      <c r="H18" s="105">
        <f>SUM(H10:H17)</f>
        <v>26200</v>
      </c>
      <c r="I18" s="13"/>
      <c r="J18" s="490" t="s">
        <v>136</v>
      </c>
      <c r="K18" s="233"/>
      <c r="L18" s="233"/>
      <c r="M18" s="233"/>
      <c r="N18" s="106">
        <f>SUM(N10:N17)</f>
        <v>8750</v>
      </c>
      <c r="O18" s="13"/>
      <c r="P18" s="480" t="s">
        <v>25</v>
      </c>
      <c r="Q18" s="481"/>
      <c r="R18" s="107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504" t="s">
        <v>26</v>
      </c>
      <c r="C20" s="505"/>
      <c r="D20" s="257"/>
      <c r="E20" s="23" t="s">
        <v>9</v>
      </c>
      <c r="F20" s="506"/>
      <c r="G20" s="505"/>
      <c r="H20" s="257"/>
      <c r="I20" s="6"/>
      <c r="J20" s="491" t="s">
        <v>26</v>
      </c>
      <c r="K20" s="202"/>
      <c r="L20" s="32" t="s">
        <v>9</v>
      </c>
      <c r="M20" s="491" t="s">
        <v>27</v>
      </c>
      <c r="N20" s="202"/>
      <c r="O20" s="6"/>
      <c r="P20" s="343" t="s">
        <v>28</v>
      </c>
      <c r="Q20" s="217"/>
      <c r="R20" s="202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507" t="s">
        <v>137</v>
      </c>
      <c r="C21" s="345"/>
      <c r="D21" s="247"/>
      <c r="E21" s="258">
        <f>COUNT(B10:B17)</f>
        <v>4</v>
      </c>
      <c r="F21" s="509" t="s">
        <v>138</v>
      </c>
      <c r="G21" s="345"/>
      <c r="H21" s="255"/>
      <c r="I21" s="19"/>
      <c r="J21" s="466" t="s">
        <v>139</v>
      </c>
      <c r="K21" s="247"/>
      <c r="L21" s="267">
        <f>COUNT(J10:J16)</f>
        <v>4</v>
      </c>
      <c r="M21" s="492" t="s">
        <v>140</v>
      </c>
      <c r="N21" s="255"/>
      <c r="O21" s="19"/>
      <c r="P21" s="344"/>
      <c r="Q21" s="345"/>
      <c r="R21" s="255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248"/>
      <c r="C22" s="346"/>
      <c r="D22" s="249"/>
      <c r="E22" s="259"/>
      <c r="F22" s="476"/>
      <c r="G22" s="213"/>
      <c r="H22" s="243"/>
      <c r="I22" s="19"/>
      <c r="J22" s="248"/>
      <c r="K22" s="249"/>
      <c r="L22" s="259"/>
      <c r="M22" s="261"/>
      <c r="N22" s="243"/>
      <c r="O22" s="19"/>
      <c r="P22" s="248"/>
      <c r="Q22" s="346"/>
      <c r="R22" s="263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472" t="s">
        <v>141</v>
      </c>
      <c r="C23" s="345"/>
      <c r="D23" s="247"/>
      <c r="E23" s="265">
        <f>SUM(G10:G17)</f>
        <v>400</v>
      </c>
      <c r="F23" s="476"/>
      <c r="G23" s="213"/>
      <c r="H23" s="243"/>
      <c r="I23" s="19"/>
      <c r="J23" s="494" t="s">
        <v>142</v>
      </c>
      <c r="K23" s="247"/>
      <c r="L23" s="265">
        <f>COUNT(K10:K16)</f>
        <v>4</v>
      </c>
      <c r="M23" s="261"/>
      <c r="N23" s="243"/>
      <c r="O23" s="19"/>
      <c r="P23" s="358"/>
      <c r="Q23" s="345"/>
      <c r="R23" s="255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248"/>
      <c r="C24" s="346"/>
      <c r="D24" s="249"/>
      <c r="E24" s="259"/>
      <c r="F24" s="477"/>
      <c r="G24" s="346"/>
      <c r="H24" s="263"/>
      <c r="I24" s="19"/>
      <c r="J24" s="248"/>
      <c r="K24" s="249"/>
      <c r="L24" s="259"/>
      <c r="M24" s="262"/>
      <c r="N24" s="263"/>
      <c r="O24" s="19"/>
      <c r="P24" s="248"/>
      <c r="Q24" s="346"/>
      <c r="R24" s="263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473"/>
      <c r="C25" s="345"/>
      <c r="D25" s="247"/>
      <c r="E25" s="474"/>
      <c r="F25" s="475" t="s">
        <v>143</v>
      </c>
      <c r="G25" s="345"/>
      <c r="H25" s="255"/>
      <c r="I25" s="20"/>
      <c r="J25" s="466" t="s">
        <v>122</v>
      </c>
      <c r="K25" s="247"/>
      <c r="L25" s="267">
        <f>COUNT(L10:L16)</f>
        <v>4</v>
      </c>
      <c r="M25" s="493" t="s">
        <v>144</v>
      </c>
      <c r="N25" s="345"/>
      <c r="O25" s="20"/>
      <c r="P25" s="359"/>
      <c r="Q25" s="345"/>
      <c r="R25" s="255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248"/>
      <c r="C26" s="346"/>
      <c r="D26" s="249"/>
      <c r="E26" s="259"/>
      <c r="F26" s="476"/>
      <c r="G26" s="213"/>
      <c r="H26" s="243"/>
      <c r="I26" s="20"/>
      <c r="J26" s="248"/>
      <c r="K26" s="249"/>
      <c r="L26" s="259"/>
      <c r="M26" s="213"/>
      <c r="N26" s="213"/>
      <c r="O26" s="20"/>
      <c r="P26" s="248"/>
      <c r="Q26" s="346"/>
      <c r="R26" s="263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473"/>
      <c r="C27" s="345"/>
      <c r="D27" s="247"/>
      <c r="E27" s="467"/>
      <c r="F27" s="476"/>
      <c r="G27" s="213"/>
      <c r="H27" s="243"/>
      <c r="I27" s="20"/>
      <c r="J27" s="494" t="s">
        <v>145</v>
      </c>
      <c r="K27" s="247"/>
      <c r="L27" s="365">
        <f>COUNT(M10:M16)</f>
        <v>1</v>
      </c>
      <c r="M27" s="213"/>
      <c r="N27" s="213"/>
      <c r="O27" s="20"/>
      <c r="P27" s="360"/>
      <c r="Q27" s="345"/>
      <c r="R27" s="255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248"/>
      <c r="C28" s="346"/>
      <c r="D28" s="249"/>
      <c r="E28" s="259"/>
      <c r="F28" s="477"/>
      <c r="G28" s="346"/>
      <c r="H28" s="263"/>
      <c r="I28" s="34"/>
      <c r="J28" s="248"/>
      <c r="K28" s="249"/>
      <c r="L28" s="259"/>
      <c r="M28" s="213"/>
      <c r="N28" s="213"/>
      <c r="O28" s="20"/>
      <c r="P28" s="248"/>
      <c r="Q28" s="346"/>
      <c r="R28" s="263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473"/>
      <c r="C29" s="345"/>
      <c r="D29" s="247"/>
      <c r="E29" s="467"/>
      <c r="F29" s="468" t="s">
        <v>146</v>
      </c>
      <c r="G29" s="469"/>
      <c r="H29" s="470"/>
      <c r="I29" s="34"/>
      <c r="J29" s="466" t="s">
        <v>147</v>
      </c>
      <c r="K29" s="247"/>
      <c r="L29" s="267">
        <v>0</v>
      </c>
      <c r="M29" s="213"/>
      <c r="N29" s="213"/>
      <c r="O29" s="34"/>
      <c r="P29" s="359"/>
      <c r="Q29" s="345"/>
      <c r="R29" s="255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232"/>
      <c r="C30" s="233"/>
      <c r="D30" s="266"/>
      <c r="E30" s="268"/>
      <c r="F30" s="471"/>
      <c r="G30" s="233"/>
      <c r="H30" s="234"/>
      <c r="I30" s="34"/>
      <c r="J30" s="232"/>
      <c r="K30" s="266"/>
      <c r="L30" s="268"/>
      <c r="M30" s="233"/>
      <c r="N30" s="233"/>
      <c r="O30" s="34"/>
      <c r="P30" s="232"/>
      <c r="Q30" s="233"/>
      <c r="R30" s="234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351"/>
      <c r="C32" s="213"/>
      <c r="D32" s="213"/>
      <c r="E32" s="213"/>
      <c r="F32" s="213"/>
      <c r="G32" s="213"/>
      <c r="H32" s="213"/>
      <c r="I32" s="213"/>
      <c r="J32" s="213"/>
      <c r="K32" s="213"/>
      <c r="L32" s="213"/>
      <c r="M32" s="213"/>
      <c r="N32" s="213"/>
      <c r="O32" s="213"/>
      <c r="P32" s="213"/>
      <c r="Q32" s="213"/>
      <c r="R32" s="213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2026-02-06T16:11:50Z</dcterms:modified>
</cp:coreProperties>
</file>