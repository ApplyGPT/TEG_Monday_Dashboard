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5D9A6417-4075-4713-946D-9077B4925E85}" xr6:coauthVersionLast="47" xr6:coauthVersionMax="47" xr10:uidLastSave="{00000000-0000-0000-0000-000000000000}"/>
  <bookViews>
    <workbookView xWindow="-24120" yWindow="-1200" windowWidth="24240" windowHeight="1329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F33" i="6" l="1"/>
  <c r="F31" i="6"/>
  <c r="F29" i="6"/>
  <c r="T27" i="6"/>
  <c r="F27" i="6"/>
  <c r="T25" i="6"/>
  <c r="F25" i="6"/>
  <c r="T23" i="6"/>
  <c r="F23" i="6"/>
  <c r="U18" i="6"/>
  <c r="P18" i="6"/>
  <c r="U16" i="6"/>
  <c r="P16" i="6"/>
  <c r="U14" i="6"/>
  <c r="P14" i="6"/>
  <c r="U12" i="6"/>
  <c r="P12" i="6"/>
  <c r="U10" i="6"/>
  <c r="P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7" i="1"/>
  <c r="J25" i="1"/>
  <c r="J23" i="1"/>
  <c r="K18" i="1"/>
  <c r="F18" i="1"/>
  <c r="K16" i="1"/>
  <c r="F16" i="1"/>
  <c r="K14" i="1"/>
  <c r="F14" i="1"/>
  <c r="K12" i="1"/>
  <c r="F12" i="1"/>
  <c r="K10" i="1"/>
  <c r="F10" i="1"/>
  <c r="P6" i="1"/>
  <c r="U20" i="6" l="1"/>
  <c r="P20" i="6"/>
  <c r="AC20" i="9"/>
  <c r="K20" i="1"/>
  <c r="P12" i="1" s="1"/>
  <c r="P14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<sst xmlns="http://schemas.openxmlformats.org/spreadsheetml/2006/main" count="460" uniqueCount="183">
  <si>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</si>
  <si>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</si>
  <si>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</si>
  <si>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</si>
  <si>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</si>
  <si>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</si>
  <si>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</si>
  <si>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</si>
  <si>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</si>
  <si>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</si>
  <si>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</si>
  <si>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</si>
  <si>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</si>
  <si>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</si>
  <si>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</si>
  <si>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</si>
  <si>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</si>
  <si>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</si>
  <si>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</si>
  <si>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</si>
  <si>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</si>
  <si>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</si>
  <si>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</si>
  <si>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</si>
  <si>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</si>
  <si>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</si>
  <si>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</si>
  <si>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</si>
  <si>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</si>
  <si>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</si>
  <si>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</si>
  <si>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</si>
  <si>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</si>
  <si>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</si>
  <si>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</si>
  <si>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</si>
  <si>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</si>
  <si>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</si>
  <si>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</si>
  <si>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</si>
  <si>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</si>
  <si>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</si>
  <si>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</si>
  <si>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</si>
  <si>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</si>
  <si>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</si>
  <si>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</si>
  <si>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</si>
  <si>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</si>
  <si>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</si>
  <si>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</si>
  <si>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</si>
  <si>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</si>
  <si>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</si>
  <si>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</si>
  <si>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</si>
  <si>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</si>
  <si>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</si>
  <si>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</si>
  <si>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</si>
  <si>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</si>
  <si>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</si>
  <si>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</si>
  <si>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</si>
  <si>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</si>
  <si>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</si>
  <si>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</si>
  <si>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</si>
  <si>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</si>
  <si>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</si>
  <si>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</si>
  <si>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</si>
  <si>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</si>
  <si>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</si>
  <si>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</si>
  <si>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</si>
  <si>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</si>
  <si>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</si>
  <si>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</si>
  <si>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</si>
  <si>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</si>
  <si>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</si>
  <si>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</si>
  <si>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</si>
  <si>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</si>
  <si>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</si>
  <si>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</si>
  <si>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</si>
  <si>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</si>
  <si>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</si>
  <si>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</si>
  <si>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</si>
  <si>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</si>
  <si>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</si>
  <si>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</si>
  <si>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</si>
  <si>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</si>
  <si>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</si>
  <si>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</si>
  <si>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</si>
  <si>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</si>
  <si>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</si>
  <si>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</si>
  <si>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</si>
  <si>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</si>
  <si>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</si>
  <si>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</si>
  <si>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</si>
  <si>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</si>
  <si>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</si>
  <si>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</si>
  <si>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</si>
  <si>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</si>
  <si>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</si>
  <si>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</si>
  <si>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</si>
  <si>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</si>
  <si>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</si>
  <si>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</si>
  <si>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</si>
  <si>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</si>
  <si>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</si>
  <si>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</si>
  <si>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</si>
  <si>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</si>
  <si>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</si>
  <si>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</si>
  <si>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</si>
  <si>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</si>
  <si>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</si>
  <si>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</si>
  <si>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</si>
  <si>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</si>
  <si>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</si>
  <si>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</si>
  <si>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</si>
  <si>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</si>
  <si>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</si>
  <si>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</si>
  <si>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</si>
  <si>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</si>
  <si>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</si>
  <si>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</si>
  <si>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</si>
  <si>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</si>
  <si>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</si>
  <si>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</si>
  <si>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</si>
  <si>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</si>
  <si>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</si>
  <si>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</si>
  <si>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</si>
  <si>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</si>
  <si>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</si>
  <si>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</si>
  <si>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</si>
  <si>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</si>
  <si>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</si>
  <si>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</si>
  <si>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</si>
  <si>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</si>
  <si>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</si>
  <si>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</si>
  <si>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</si>
  <si>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</si>
  <si>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</si>
  <si>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</si>
  <si>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</si>
  <si>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</si>
  <si>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</si>
  <si>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</si>
  <si>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</si>
  <si>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</si>
  <si>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</si>
  <si>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</si>
  <si>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</si>
  <si>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DUPLICATES HOURS</t>
  </si>
  <si>
    <t>DUPLICATES TOTAL</t>
  </si>
  <si>
    <t>STANDARD RATE ($/HR):</t>
  </si>
  <si>
    <t>DUPLICATES RATE ($/HR):</t>
  </si>
  <si>
    <t>TEG TECH PACK</t>
  </si>
  <si>
    <t>COSTING WORKBOOK</t>
  </si>
  <si>
    <t>DYE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</si>
</sst>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4" fillId="0" borderId="74"/>
  </cellStyleXfs>
  <cellXfs count="50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/>
    </xf>
    <xf numFmtId="0" fontId="4" fillId="5" borderId="34" xfId="0" applyFont="1" applyFill="1" applyBorder="1" applyAlignment="1">
      <alignment horizontal="center"/>
    </xf>
    <xf numFmtId="0" fontId="11" fillId="18" borderId="0" xfId="0" applyFont="1" applyFill="1"/>
    <xf numFmtId="0" fontId="11" fillId="18" borderId="74" xfId="0" applyFont="1" applyFill="1" applyBorder="1"/>
    <xf numFmtId="0" fontId="0" fillId="18" borderId="0" xfId="0" applyFill="1"/>
    <xf numFmtId="0" fontId="0" fillId="18" borderId="74" xfId="0" applyFill="1" applyBorder="1"/>
    <xf numFmtId="0" fontId="5" fillId="18" borderId="74" xfId="0" applyFont="1" applyFill="1" applyBorder="1"/>
    <xf numFmtId="0" fontId="50" fillId="4" borderId="1" xfId="1" applyFont="1" applyFill="1" applyBorder="1" applyAlignment="1">
      <alignment horizontal="center" vertical="center"/>
    </xf>
    <xf numFmtId="0" fontId="50" fillId="4" borderId="84" xfId="1" applyFont="1" applyFill="1" applyBorder="1" applyAlignment="1">
      <alignment vertical="center"/>
    </xf>
    <xf numFmtId="0" fontId="10" fillId="18" borderId="84" xfId="0" applyFont="1" applyFill="1" applyBorder="1" applyAlignment="1">
      <alignment horizontal="center" vertical="center" wrapText="1"/>
    </xf>
    <xf numFmtId="0" fontId="4" fillId="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0" borderId="6" xfId="0" applyFont="1" applyBorder="1"/>
    <xf numFmtId="164" fontId="8" fillId="18" borderId="84" xfId="0" applyNumberFormat="1" applyFont="1" applyFill="1" applyBorder="1" applyAlignment="1">
      <alignment horizontal="center" vertical="center"/>
    </xf>
    <xf numFmtId="0" fontId="5" fillId="18" borderId="84" xfId="0" applyFont="1" applyFill="1" applyBorder="1"/>
    <xf numFmtId="0" fontId="8" fillId="17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164" fontId="8" fillId="19" borderId="84" xfId="0" applyNumberFormat="1" applyFont="1" applyFill="1" applyBorder="1" applyAlignment="1">
      <alignment horizontal="center" vertical="center"/>
    </xf>
    <xf numFmtId="0" fontId="8" fillId="19" borderId="84" xfId="0" applyFont="1" applyFill="1" applyBorder="1" applyAlignment="1">
      <alignment horizontal="center" vertical="center"/>
    </xf>
    <xf numFmtId="0" fontId="8" fillId="18" borderId="7" xfId="0" applyFont="1" applyFill="1" applyBorder="1" applyAlignment="1">
      <alignment horizontal="left" vertical="center"/>
    </xf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1" fillId="0" borderId="0" xfId="0" applyFont="1"/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36" xfId="0" applyFont="1" applyBorder="1"/>
    <xf numFmtId="0" fontId="5" fillId="0" borderId="35" xfId="0" applyFont="1" applyBorder="1"/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12" fillId="17" borderId="8" xfId="0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1" xfId="0" applyFont="1" applyFill="1" applyBorder="1" applyAlignment="1">
      <alignment horizontal="center"/>
    </xf>
    <xf numFmtId="0" fontId="5" fillId="18" borderId="12" xfId="0" applyFont="1" applyFill="1" applyBorder="1" applyAlignment="1">
      <alignment horizontal="center"/>
    </xf>
    <xf numFmtId="0" fontId="4" fillId="3" borderId="34" xfId="0" applyFont="1" applyFill="1" applyBorder="1" applyAlignment="1">
      <alignment horizontal="left" vertical="center"/>
    </xf>
    <xf numFmtId="3" fontId="8" fillId="19" borderId="84" xfId="0" applyNumberFormat="1" applyFont="1" applyFill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0" fontId="8" fillId="19" borderId="8" xfId="0" applyFont="1" applyFill="1" applyBorder="1" applyAlignment="1">
      <alignment horizontal="left" vertical="center" wrapText="1"/>
    </xf>
    <xf numFmtId="0" fontId="5" fillId="18" borderId="13" xfId="0" applyFont="1" applyFill="1" applyBorder="1"/>
    <xf numFmtId="0" fontId="5" fillId="18" borderId="16" xfId="0" applyFont="1" applyFill="1" applyBorder="1"/>
    <xf numFmtId="0" fontId="8" fillId="19" borderId="34" xfId="0" applyFont="1" applyFill="1" applyBorder="1" applyAlignment="1">
      <alignment horizontal="center" vertical="center"/>
    </xf>
    <xf numFmtId="0" fontId="5" fillId="18" borderId="62" xfId="0" applyFont="1" applyFill="1" applyBorder="1"/>
    <xf numFmtId="0" fontId="8" fillId="17" borderId="34" xfId="0" applyFont="1" applyFill="1" applyBorder="1" applyAlignment="1">
      <alignment horizontal="center" vertical="center"/>
    </xf>
    <xf numFmtId="0" fontId="8" fillId="18" borderId="34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18" borderId="8" xfId="0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4" fillId="17" borderId="8" xfId="0" applyFont="1" applyFill="1" applyBorder="1" applyAlignment="1">
      <alignment horizontal="center" vertical="center"/>
    </xf>
    <xf numFmtId="0" fontId="5" fillId="18" borderId="36" xfId="0" applyFont="1" applyFill="1" applyBorder="1" applyAlignment="1">
      <alignment horizontal="center"/>
    </xf>
    <xf numFmtId="0" fontId="5" fillId="18" borderId="76" xfId="0" applyFont="1" applyFill="1" applyBorder="1" applyAlignment="1">
      <alignment horizontal="center"/>
    </xf>
    <xf numFmtId="0" fontId="8" fillId="17" borderId="84" xfId="0" applyFont="1" applyFill="1" applyBorder="1" applyAlignment="1">
      <alignment horizontal="center" vertical="center"/>
    </xf>
    <xf numFmtId="0" fontId="4" fillId="19" borderId="8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0" borderId="76" xfId="0" applyFont="1" applyBorder="1" applyAlignment="1">
      <alignment horizontal="center" vertical="center"/>
    </xf>
    <xf numFmtId="0" fontId="4" fillId="5" borderId="85" xfId="0" applyFont="1" applyFill="1" applyBorder="1" applyAlignment="1">
      <alignment horizontal="center"/>
    </xf>
    <xf numFmtId="164" fontId="4" fillId="4" borderId="86" xfId="0" applyNumberFormat="1" applyFont="1" applyFill="1" applyBorder="1" applyAlignment="1">
      <alignment horizontal="center" vertical="center"/>
    </xf>
    <xf numFmtId="3" fontId="8" fillId="8" borderId="84" xfId="0" applyNumberFormat="1" applyFont="1" applyFill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11" xfId="0" applyFont="1" applyBorder="1"/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15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16" xfId="0" applyFont="1" applyBorder="1"/>
    <xf numFmtId="0" fontId="5" fillId="0" borderId="12" xfId="0" applyFont="1" applyBorder="1"/>
    <xf numFmtId="0" fontId="12" fillId="5" borderId="8" xfId="0" applyFont="1" applyFill="1" applyBorder="1" applyAlignment="1">
      <alignment horizontal="left" vertical="center"/>
    </xf>
    <xf numFmtId="0" fontId="5" fillId="0" borderId="9" xfId="0" applyFont="1" applyBorder="1"/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8" fillId="7" borderId="7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 wrapText="1"/>
    </xf>
    <xf numFmtId="0" fontId="5" fillId="0" borderId="13" xfId="0" applyFont="1" applyBorder="1"/>
    <xf numFmtId="0" fontId="8" fillId="5" borderId="8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0" fontId="48" fillId="5" borderId="38" xfId="1" applyFont="1" applyFill="1" applyBorder="1" applyAlignment="1">
      <alignment horizontal="center" vertical="center"/>
    </xf>
    <xf numFmtId="0" fontId="45" fillId="0" borderId="10" xfId="1" applyFont="1" applyBorder="1"/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50" fillId="5" borderId="34" xfId="1" applyFont="1" applyFill="1" applyBorder="1" applyAlignment="1">
      <alignment horizontal="center" vertical="center"/>
    </xf>
    <xf numFmtId="0" fontId="50" fillId="4" borderId="1" xfId="1" applyFont="1" applyFill="1" applyBorder="1" applyAlignment="1">
      <alignment horizontal="left" vertical="center"/>
    </xf>
    <xf numFmtId="0" fontId="45" fillId="0" borderId="4" xfId="1" applyFont="1" applyBorder="1"/>
    <xf numFmtId="3" fontId="46" fillId="19" borderId="7" xfId="1" applyNumberFormat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39" xfId="1" applyFont="1" applyFill="1" applyBorder="1"/>
    <xf numFmtId="0" fontId="49" fillId="7" borderId="34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0" fontId="50" fillId="4" borderId="6" xfId="1" applyFont="1" applyFill="1" applyBorder="1" applyAlignment="1">
      <alignment horizontal="left"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76" xfId="1" applyFont="1" applyFill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52" fillId="0" borderId="34" xfId="1" applyFont="1" applyBorder="1" applyAlignment="1">
      <alignment horizontal="left" vertical="center" wrapText="1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4" fillId="0" borderId="74" xfId="1"/>
    <xf numFmtId="0" fontId="45" fillId="0" borderId="76" xfId="1" applyFont="1" applyBorder="1"/>
    <xf numFmtId="0" fontId="4" fillId="17" borderId="34" xfId="1" applyFont="1" applyFill="1" applyBorder="1" applyAlignment="1">
      <alignment horizontal="left" vertical="center"/>
    </xf>
    <xf numFmtId="0" fontId="45" fillId="18" borderId="10" xfId="1" applyFont="1" applyFill="1" applyBorder="1"/>
    <xf numFmtId="0" fontId="46" fillId="8" borderId="7" xfId="1" applyFont="1" applyFill="1" applyBorder="1" applyAlignment="1">
      <alignment horizontal="center" vertical="center"/>
    </xf>
    <xf numFmtId="0" fontId="50" fillId="3" borderId="6" xfId="1" applyFont="1" applyFill="1" applyBorder="1" applyAlignment="1">
      <alignment horizontal="left" vertical="center"/>
    </xf>
    <xf numFmtId="0" fontId="48" fillId="7" borderId="7" xfId="1" applyFont="1" applyFill="1" applyBorder="1" applyAlignment="1">
      <alignment horizontal="center" vertical="center"/>
    </xf>
    <xf numFmtId="0" fontId="46" fillId="7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vertical="center"/>
    </xf>
    <xf numFmtId="0" fontId="4" fillId="7" borderId="1" xfId="1" applyFont="1" applyFill="1" applyBorder="1" applyAlignment="1">
      <alignment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 wrapText="1"/>
    </xf>
    <xf numFmtId="0" fontId="4" fillId="0" borderId="34" xfId="1" applyFont="1" applyBorder="1" applyAlignment="1">
      <alignment horizontal="left" vertical="center" wrapText="1"/>
    </xf>
    <xf numFmtId="164" fontId="46" fillId="4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" fillId="2" borderId="1" xfId="1" applyFont="1" applyFill="1" applyBorder="1" applyAlignment="1">
      <alignment horizontal="center" vertical="center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50" fillId="3" borderId="1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1" fillId="0" borderId="74" xfId="1" applyFont="1"/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50" fillId="7" borderId="1" xfId="1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8" fillId="8" borderId="8" xfId="0" applyFont="1" applyFill="1" applyBorder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8" fillId="5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8" fillId="0" borderId="0" xfId="0" applyFont="1"/>
    <xf numFmtId="0" fontId="4" fillId="2" borderId="34" xfId="0" applyFont="1" applyFill="1" applyBorder="1" applyAlignment="1">
      <alignment horizontal="center" vertical="center"/>
    </xf>
    <xf numFmtId="0" fontId="18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49" fillId="17" borderId="34" xfId="1" applyFont="1" applyFill="1" applyBorder="1" applyAlignment="1">
      <alignment horizontal="center" vertical="center"/>
    </xf>
    <xf numFmtId="0" fontId="45" fillId="18" borderId="14" xfId="1" applyFont="1" applyFill="1" applyBorder="1"/>
    <xf numFmtId="0" fontId="45" fillId="18" borderId="75" xfId="1" applyFont="1" applyFill="1" applyBorder="1"/>
    <xf numFmtId="0" fontId="48" fillId="17" borderId="14" xfId="1" applyFont="1" applyFill="1" applyBorder="1" applyAlignment="1">
      <alignment horizontal="center" vertical="center"/>
    </xf>
    <xf numFmtId="0" fontId="49" fillId="17" borderId="84" xfId="1" applyFont="1" applyFill="1" applyBorder="1" applyAlignment="1">
      <alignment horizontal="center" vertical="center"/>
    </xf>
    <xf numFmtId="0" fontId="45" fillId="18" borderId="84" xfId="1" applyFont="1" applyFill="1" applyBorder="1"/>
    <xf numFmtId="0" fontId="48" fillId="19" borderId="87" xfId="1" applyFont="1" applyFill="1" applyBorder="1" applyAlignment="1">
      <alignment horizontal="center" vertical="center"/>
    </xf>
    <xf numFmtId="0" fontId="45" fillId="18" borderId="87" xfId="1" applyFont="1" applyFill="1" applyBorder="1"/>
    <xf numFmtId="0" fontId="49" fillId="19" borderId="34" xfId="1" applyFont="1" applyFill="1" applyBorder="1" applyAlignment="1">
      <alignment horizontal="center" vertical="center"/>
    </xf>
    <xf numFmtId="0" fontId="48" fillId="19" borderId="14" xfId="1" applyFont="1" applyFill="1" applyBorder="1" applyAlignment="1">
      <alignment horizontal="center" vertical="center"/>
    </xf>
    <xf numFmtId="164" fontId="48" fillId="7" borderId="10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0" fontId="46" fillId="19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horizontal="center" vertical="center"/>
    </xf>
    <xf numFmtId="0" fontId="4" fillId="10" borderId="6" xfId="1" applyFont="1" applyFill="1" applyBorder="1" applyAlignment="1">
      <alignment horizontal="center" vertical="center"/>
    </xf>
    <xf numFmtId="0" fontId="4" fillId="10" borderId="4" xfId="1" applyFont="1" applyFill="1" applyBorder="1" applyAlignment="1">
      <alignment horizontal="center" vertic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0" fontId="48" fillId="7" borderId="10" xfId="1" applyFont="1" applyFill="1" applyBorder="1" applyAlignment="1">
      <alignment horizontal="center" vertical="center"/>
    </xf>
    <xf numFmtId="0" fontId="45" fillId="18" borderId="84" xfId="1" applyFont="1" applyFill="1" applyBorder="1" applyAlignment="1">
      <alignment horizont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9" fontId="21" fillId="0" borderId="14" xfId="0" applyNumberFormat="1" applyFont="1" applyBorder="1" applyAlignment="1">
      <alignment horizontal="right" vertic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2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0" borderId="1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  <xf numFmtId="0" fontId="49" fillId="17" borderId="74" xfId="1" applyFont="1" applyFill="1" applyAlignment="1">
      <alignment horizontal="center" vertical="center"/>
    </xf>
    <xf numFmtId="0" fontId="45" fillId="18" borderId="74" xfId="1" applyFont="1" applyFill="1"/>
    <xf numFmtId="0" fontId="48" fillId="18" borderId="74" xfId="1" applyFont="1" applyFill="1" applyAlignment="1">
      <alignment horizontal="center" vertical="center"/>
    </xf>
    <xf numFmtId="0" fontId="45" fillId="18" borderId="74" xfId="1" applyFont="1" applyFill="1"/>
    <xf numFmtId="0" fontId="49" fillId="19" borderId="74" xfId="1" applyFont="1" applyFill="1" applyAlignment="1">
      <alignment horizontal="center" vertical="center"/>
    </xf>
    <xf numFmtId="0" fontId="48" fillId="19" borderId="74" xfId="1" applyFont="1" applyFill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zoomScale="55" zoomScaleNormal="55"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9" width="25.85546875" customWidth="1"/>
    <col min="10" max="10" width="30.140625" customWidth="1"/>
    <col min="11" max="11" width="16.28515625" customWidth="1"/>
    <col min="12" max="12" width="13.71093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0" t="s">
        <v>0</v>
      </c>
      <c r="C3" s="161"/>
      <c r="D3" s="161"/>
      <c r="E3" s="161"/>
      <c r="F3" s="161"/>
      <c r="G3" s="161"/>
      <c r="H3" s="161"/>
      <c r="I3" s="161"/>
      <c r="J3" s="162" t="s">
        <v>1</v>
      </c>
      <c r="K3" s="161"/>
      <c r="L3" s="161"/>
      <c r="M3" s="161"/>
      <c r="N3" s="161"/>
      <c r="O3" s="161"/>
      <c r="P3" s="16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63" t="s">
        <v>2</v>
      </c>
      <c r="C6" s="164"/>
      <c r="D6" s="165"/>
      <c r="E6" s="166"/>
      <c r="F6" s="3"/>
      <c r="G6" s="3"/>
      <c r="H6" s="163" t="s">
        <v>3</v>
      </c>
      <c r="I6" s="164"/>
      <c r="J6" s="167" t="s">
        <v>4</v>
      </c>
      <c r="K6" s="166"/>
      <c r="L6" s="3"/>
      <c r="M6" s="3"/>
      <c r="N6" s="3"/>
      <c r="O6" s="4" t="s">
        <v>5</v>
      </c>
      <c r="P6" s="5">
        <f ca="1">TODAY()</f>
        <v>46050</v>
      </c>
      <c r="Q6" s="182"/>
      <c r="R6" s="161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5" t="s">
        <v>6</v>
      </c>
      <c r="C8" s="169"/>
      <c r="D8" s="169"/>
      <c r="E8" s="169"/>
      <c r="F8" s="166"/>
      <c r="G8" s="6"/>
      <c r="H8" s="186" t="s">
        <v>7</v>
      </c>
      <c r="I8" s="169"/>
      <c r="J8" s="169"/>
      <c r="K8" s="187"/>
      <c r="L8" s="188"/>
      <c r="M8" s="6"/>
      <c r="N8" s="189" t="s">
        <v>8</v>
      </c>
      <c r="O8" s="169"/>
      <c r="P8" s="16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146" t="s">
        <v>14</v>
      </c>
      <c r="I9" s="146" t="s">
        <v>15</v>
      </c>
      <c r="J9" s="147" t="s">
        <v>17</v>
      </c>
      <c r="K9" s="224" t="s">
        <v>13</v>
      </c>
      <c r="L9" s="224"/>
      <c r="M9" s="10"/>
      <c r="N9" s="191"/>
      <c r="O9" s="16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72">
        <v>101</v>
      </c>
      <c r="C10" s="179" t="s">
        <v>18</v>
      </c>
      <c r="D10" s="180">
        <v>2325</v>
      </c>
      <c r="E10" s="181"/>
      <c r="F10" s="180">
        <f>(D10*E10)+D10</f>
        <v>2325</v>
      </c>
      <c r="G10" s="110"/>
      <c r="H10" s="170"/>
      <c r="I10" s="170"/>
      <c r="J10" s="170"/>
      <c r="K10" s="170">
        <f>SUM(H10:J10)</f>
        <v>0</v>
      </c>
      <c r="L10" s="170"/>
      <c r="M10" s="110"/>
      <c r="N10" s="192" t="s">
        <v>19</v>
      </c>
      <c r="O10" s="157"/>
      <c r="P10" s="190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73"/>
      <c r="C11" s="173"/>
      <c r="D11" s="173"/>
      <c r="E11" s="173"/>
      <c r="F11" s="173"/>
      <c r="G11" s="110"/>
      <c r="H11" s="171"/>
      <c r="I11" s="171"/>
      <c r="J11" s="171"/>
      <c r="K11" s="170"/>
      <c r="L11" s="170"/>
      <c r="M11" s="110"/>
      <c r="N11" s="158"/>
      <c r="O11" s="159"/>
      <c r="P11" s="18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74">
        <v>102</v>
      </c>
      <c r="C12" s="174" t="s">
        <v>20</v>
      </c>
      <c r="D12" s="175">
        <v>2325</v>
      </c>
      <c r="E12" s="176">
        <v>0.75</v>
      </c>
      <c r="F12" s="175">
        <f>(D12*E12)+D12</f>
        <v>4068.75</v>
      </c>
      <c r="G12" s="110"/>
      <c r="H12" s="177">
        <v>1330</v>
      </c>
      <c r="I12" s="177">
        <v>1330</v>
      </c>
      <c r="J12" s="177"/>
      <c r="K12" s="177">
        <f>SUM(H12:J12)</f>
        <v>2660</v>
      </c>
      <c r="L12" s="177"/>
      <c r="M12" s="110"/>
      <c r="N12" s="156" t="s">
        <v>21</v>
      </c>
      <c r="O12" s="157"/>
      <c r="P12" s="183">
        <f>K20</f>
        <v>4750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73"/>
      <c r="C13" s="173"/>
      <c r="D13" s="173"/>
      <c r="E13" s="173"/>
      <c r="F13" s="173"/>
      <c r="G13" s="110"/>
      <c r="H13" s="171"/>
      <c r="I13" s="171"/>
      <c r="J13" s="171"/>
      <c r="K13" s="177"/>
      <c r="L13" s="177"/>
      <c r="M13" s="110"/>
      <c r="N13" s="158"/>
      <c r="O13" s="159"/>
      <c r="P13" s="184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2">
        <v>103</v>
      </c>
      <c r="C14" s="179" t="s">
        <v>22</v>
      </c>
      <c r="D14" s="180">
        <v>2325</v>
      </c>
      <c r="E14" s="181"/>
      <c r="F14" s="180">
        <f>(D14*E14)+D14</f>
        <v>2325</v>
      </c>
      <c r="G14" s="111"/>
      <c r="H14" s="170"/>
      <c r="I14" s="170"/>
      <c r="J14" s="170"/>
      <c r="K14" s="170">
        <f>SUM(H14:J14)</f>
        <v>0</v>
      </c>
      <c r="L14" s="170"/>
      <c r="M14" s="111"/>
      <c r="N14" s="156" t="s">
        <v>166</v>
      </c>
      <c r="O14" s="157"/>
      <c r="P14" s="183">
        <f>SUM(P10:P13)</f>
        <v>18700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73"/>
      <c r="C15" s="173"/>
      <c r="D15" s="173"/>
      <c r="E15" s="173"/>
      <c r="F15" s="173"/>
      <c r="G15" s="111"/>
      <c r="H15" s="171"/>
      <c r="I15" s="171"/>
      <c r="J15" s="171"/>
      <c r="K15" s="170"/>
      <c r="L15" s="170"/>
      <c r="M15" s="111"/>
      <c r="N15" s="158"/>
      <c r="O15" s="159"/>
      <c r="P15" s="184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74">
        <v>104</v>
      </c>
      <c r="C16" s="174" t="s">
        <v>23</v>
      </c>
      <c r="D16" s="175">
        <v>2325</v>
      </c>
      <c r="E16" s="176">
        <v>0.25</v>
      </c>
      <c r="F16" s="175">
        <f>(D16*E16)+D16</f>
        <v>2906.25</v>
      </c>
      <c r="G16" s="111"/>
      <c r="H16" s="177">
        <v>1330</v>
      </c>
      <c r="I16" s="178"/>
      <c r="J16" s="177">
        <v>760</v>
      </c>
      <c r="K16" s="177">
        <f>SUM(H16:J16)</f>
        <v>2090</v>
      </c>
      <c r="L16" s="177"/>
      <c r="M16" s="111"/>
      <c r="N16" s="207" t="s">
        <v>148</v>
      </c>
      <c r="O16" s="208"/>
      <c r="P16" s="211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73"/>
      <c r="C17" s="173"/>
      <c r="D17" s="173"/>
      <c r="E17" s="173"/>
      <c r="F17" s="173"/>
      <c r="G17" s="111"/>
      <c r="H17" s="171"/>
      <c r="I17" s="171"/>
      <c r="J17" s="171"/>
      <c r="K17" s="177"/>
      <c r="L17" s="177"/>
      <c r="M17" s="111"/>
      <c r="N17" s="209"/>
      <c r="O17" s="210"/>
      <c r="P17" s="212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72">
        <v>105</v>
      </c>
      <c r="C18" s="179" t="s">
        <v>24</v>
      </c>
      <c r="D18" s="180">
        <v>2325</v>
      </c>
      <c r="E18" s="181"/>
      <c r="F18" s="180">
        <f>(D18*E18)+D18</f>
        <v>2325</v>
      </c>
      <c r="G18" s="111"/>
      <c r="H18" s="170"/>
      <c r="I18" s="170"/>
      <c r="J18" s="170"/>
      <c r="K18" s="170">
        <f>SUM(H18:J18)</f>
        <v>0</v>
      </c>
      <c r="L18" s="170"/>
      <c r="M18" s="111"/>
      <c r="N18" s="113"/>
      <c r="O18" s="113"/>
      <c r="P18" s="11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73"/>
      <c r="C19" s="173"/>
      <c r="D19" s="173"/>
      <c r="E19" s="173"/>
      <c r="F19" s="173"/>
      <c r="G19" s="111"/>
      <c r="H19" s="171"/>
      <c r="I19" s="171"/>
      <c r="J19" s="171"/>
      <c r="K19" s="170"/>
      <c r="L19" s="170"/>
      <c r="M19" s="111"/>
      <c r="N19" s="113"/>
      <c r="O19" s="113"/>
      <c r="P19" s="113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68" t="s">
        <v>19</v>
      </c>
      <c r="C20" s="169"/>
      <c r="D20" s="169"/>
      <c r="E20" s="166"/>
      <c r="F20" s="14">
        <f>SUM(F10:F19)</f>
        <v>13950</v>
      </c>
      <c r="G20" s="13"/>
      <c r="H20" s="222" t="s">
        <v>21</v>
      </c>
      <c r="I20" s="223"/>
      <c r="J20" s="223"/>
      <c r="K20" s="225">
        <f>SUM(K10:K19)</f>
        <v>4750</v>
      </c>
      <c r="L20" s="225"/>
      <c r="M20" s="13"/>
      <c r="N20" s="215" t="s">
        <v>25</v>
      </c>
      <c r="O20" s="216"/>
      <c r="P20" s="112">
        <f>SUM(P10:P13)-P16</f>
        <v>17940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5" t="s">
        <v>26</v>
      </c>
      <c r="C22" s="166"/>
      <c r="D22" s="145" t="s">
        <v>9</v>
      </c>
      <c r="E22" s="197" t="s">
        <v>27</v>
      </c>
      <c r="F22" s="188"/>
      <c r="G22" s="6"/>
      <c r="H22" s="186" t="s">
        <v>26</v>
      </c>
      <c r="I22" s="166"/>
      <c r="J22" s="18" t="s">
        <v>9</v>
      </c>
      <c r="K22" s="214" t="s">
        <v>27</v>
      </c>
      <c r="L22" s="188"/>
      <c r="M22" s="6"/>
      <c r="N22" s="189" t="s">
        <v>28</v>
      </c>
      <c r="O22" s="169"/>
      <c r="P22" s="16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1" t="s">
        <v>29</v>
      </c>
      <c r="C23" s="218"/>
      <c r="D23" s="198">
        <v>5</v>
      </c>
      <c r="E23" s="155" t="s">
        <v>30</v>
      </c>
      <c r="F23" s="155"/>
      <c r="G23" s="148"/>
      <c r="H23" s="199" t="s">
        <v>31</v>
      </c>
      <c r="I23" s="194"/>
      <c r="J23" s="203">
        <f>COUNT(H10:H19)</f>
        <v>2</v>
      </c>
      <c r="K23" s="155" t="s">
        <v>32</v>
      </c>
      <c r="L23" s="155"/>
      <c r="M23" s="148"/>
      <c r="N23" s="200"/>
      <c r="O23" s="201"/>
      <c r="P23" s="15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95"/>
      <c r="C24" s="219"/>
      <c r="D24" s="171"/>
      <c r="E24" s="155"/>
      <c r="F24" s="155"/>
      <c r="G24" s="148"/>
      <c r="H24" s="195"/>
      <c r="I24" s="196"/>
      <c r="J24" s="204"/>
      <c r="K24" s="155"/>
      <c r="L24" s="155"/>
      <c r="M24" s="148"/>
      <c r="N24" s="158"/>
      <c r="O24" s="202"/>
      <c r="P24" s="159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17" t="s">
        <v>33</v>
      </c>
      <c r="C25" s="218"/>
      <c r="D25" s="226">
        <v>5</v>
      </c>
      <c r="E25" s="155"/>
      <c r="F25" s="155"/>
      <c r="G25" s="148"/>
      <c r="H25" s="193" t="s">
        <v>15</v>
      </c>
      <c r="I25" s="194"/>
      <c r="J25" s="205">
        <f>COUNT(I10:I13)</f>
        <v>1</v>
      </c>
      <c r="K25" s="155"/>
      <c r="L25" s="155"/>
      <c r="M25" s="148"/>
      <c r="N25" s="213"/>
      <c r="O25" s="201"/>
      <c r="P25" s="15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95"/>
      <c r="C26" s="219"/>
      <c r="D26" s="171"/>
      <c r="E26" s="155"/>
      <c r="F26" s="155"/>
      <c r="G26" s="148"/>
      <c r="H26" s="195"/>
      <c r="I26" s="196"/>
      <c r="J26" s="204"/>
      <c r="K26" s="155"/>
      <c r="L26" s="155"/>
      <c r="M26" s="148"/>
      <c r="N26" s="158"/>
      <c r="O26" s="202"/>
      <c r="P26" s="159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221" t="s">
        <v>34</v>
      </c>
      <c r="C27" s="218"/>
      <c r="D27" s="178">
        <v>1</v>
      </c>
      <c r="E27" s="155"/>
      <c r="F27" s="155"/>
      <c r="G27" s="149"/>
      <c r="H27" s="193" t="s">
        <v>17</v>
      </c>
      <c r="I27" s="194"/>
      <c r="J27" s="206">
        <f>COUNT(J10:J19)</f>
        <v>1</v>
      </c>
      <c r="K27" s="155"/>
      <c r="L27" s="155"/>
      <c r="M27" s="148"/>
      <c r="N27" s="200"/>
      <c r="O27" s="201"/>
      <c r="P27" s="157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95"/>
      <c r="C28" s="219"/>
      <c r="D28" s="171"/>
      <c r="E28" s="155"/>
      <c r="F28" s="155"/>
      <c r="G28" s="149"/>
      <c r="H28" s="195"/>
      <c r="I28" s="196"/>
      <c r="J28" s="204"/>
      <c r="K28" s="155"/>
      <c r="L28" s="155"/>
      <c r="M28" s="148"/>
      <c r="N28" s="158"/>
      <c r="O28" s="202"/>
      <c r="P28" s="159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217" t="s">
        <v>37</v>
      </c>
      <c r="C29" s="218"/>
      <c r="D29" s="220">
        <v>1</v>
      </c>
      <c r="E29" s="155" t="s">
        <v>35</v>
      </c>
      <c r="F29" s="155"/>
      <c r="G29" s="149"/>
      <c r="H29" s="199" t="s">
        <v>39</v>
      </c>
      <c r="I29" s="194"/>
      <c r="J29" s="203">
        <v>0</v>
      </c>
      <c r="K29" s="155"/>
      <c r="L29" s="155"/>
      <c r="M29" s="148"/>
      <c r="N29" s="213"/>
      <c r="O29" s="201"/>
      <c r="P29" s="157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95"/>
      <c r="C30" s="219"/>
      <c r="D30" s="171"/>
      <c r="E30" s="155"/>
      <c r="F30" s="155"/>
      <c r="G30" s="149"/>
      <c r="H30" s="195"/>
      <c r="I30" s="196"/>
      <c r="J30" s="204"/>
      <c r="K30" s="155"/>
      <c r="L30" s="155"/>
      <c r="M30" s="148"/>
      <c r="N30" s="158"/>
      <c r="O30" s="202"/>
      <c r="P30" s="159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221" t="s">
        <v>38</v>
      </c>
      <c r="C31" s="218"/>
      <c r="D31" s="198">
        <f>D23</f>
        <v>5</v>
      </c>
      <c r="E31" s="155"/>
      <c r="F31" s="155"/>
      <c r="G31" s="149"/>
      <c r="H31" s="150"/>
      <c r="I31" s="150"/>
      <c r="J31" s="151"/>
      <c r="K31" s="152"/>
      <c r="L31" s="152"/>
      <c r="M31" s="148"/>
      <c r="N31" s="200"/>
      <c r="O31" s="201"/>
      <c r="P31" s="157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95"/>
      <c r="C32" s="219"/>
      <c r="D32" s="171"/>
      <c r="E32" s="155"/>
      <c r="F32" s="155"/>
      <c r="G32" s="149"/>
      <c r="H32" s="150"/>
      <c r="I32" s="150"/>
      <c r="J32" s="151"/>
      <c r="K32" s="152"/>
      <c r="L32" s="152"/>
      <c r="M32" s="148"/>
      <c r="N32" s="158"/>
      <c r="O32" s="202"/>
      <c r="P32" s="159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217" t="s">
        <v>180</v>
      </c>
      <c r="C33" s="218"/>
      <c r="D33" s="220">
        <v>5</v>
      </c>
      <c r="E33" s="155"/>
      <c r="F33" s="155"/>
      <c r="G33" s="149"/>
      <c r="H33" s="152"/>
      <c r="I33" s="152"/>
      <c r="J33" s="152"/>
      <c r="K33" s="152"/>
      <c r="L33" s="152"/>
      <c r="M33" s="148"/>
      <c r="N33" s="152"/>
      <c r="O33" s="152"/>
      <c r="P33" s="152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95"/>
      <c r="C34" s="219"/>
      <c r="D34" s="171"/>
      <c r="E34" s="155"/>
      <c r="F34" s="155"/>
      <c r="G34" s="149"/>
      <c r="H34" s="152"/>
      <c r="I34" s="152"/>
      <c r="J34" s="152"/>
      <c r="K34" s="152"/>
      <c r="L34" s="152"/>
      <c r="M34" s="148"/>
      <c r="N34" s="152"/>
      <c r="O34" s="152"/>
      <c r="P34" s="152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221" t="s">
        <v>181</v>
      </c>
      <c r="C35" s="218"/>
      <c r="D35" s="220">
        <v>5</v>
      </c>
      <c r="E35" s="155"/>
      <c r="F35" s="155"/>
      <c r="G35" s="149"/>
      <c r="H35" s="152"/>
      <c r="I35" s="152"/>
      <c r="J35" s="152"/>
      <c r="K35" s="152"/>
      <c r="L35" s="152"/>
      <c r="M35" s="148"/>
      <c r="N35" s="152"/>
      <c r="O35" s="152"/>
      <c r="P35" s="152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95"/>
      <c r="C36" s="219"/>
      <c r="D36" s="171"/>
      <c r="E36" s="155"/>
      <c r="F36" s="155"/>
      <c r="G36" s="149"/>
      <c r="H36" s="150"/>
      <c r="I36" s="150"/>
      <c r="J36" s="150"/>
      <c r="K36" s="152"/>
      <c r="L36" s="152"/>
      <c r="M36" s="148"/>
      <c r="N36" s="152"/>
      <c r="O36" s="152"/>
      <c r="P36" s="152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52"/>
      <c r="C37" s="152"/>
      <c r="D37" s="152"/>
      <c r="E37" s="152"/>
      <c r="F37" s="152"/>
      <c r="G37" s="149"/>
      <c r="H37" s="150"/>
      <c r="I37" s="150"/>
      <c r="J37" s="150"/>
      <c r="K37" s="152"/>
      <c r="L37" s="152"/>
      <c r="M37" s="148"/>
      <c r="N37" s="152"/>
      <c r="O37" s="152"/>
      <c r="P37" s="152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8"/>
      <c r="C38" s="108"/>
      <c r="D38" s="108"/>
      <c r="E38" s="108"/>
      <c r="F38" s="108"/>
      <c r="G38" s="109"/>
      <c r="K38" s="108"/>
      <c r="L38" s="108"/>
      <c r="M38" s="19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8"/>
      <c r="C39" s="108"/>
      <c r="D39" s="108"/>
      <c r="E39" s="108"/>
      <c r="F39" s="108"/>
      <c r="G39" s="109"/>
      <c r="K39" s="108"/>
      <c r="L39" s="108"/>
      <c r="M39" s="19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8"/>
      <c r="C40" s="108"/>
      <c r="D40" s="108"/>
      <c r="E40" s="108"/>
      <c r="F40" s="108"/>
      <c r="G40" s="109"/>
      <c r="H40" s="108"/>
      <c r="I40" s="108"/>
      <c r="J40" s="108"/>
      <c r="K40" s="108"/>
      <c r="L40" s="108"/>
      <c r="M40" s="19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8"/>
      <c r="C41" s="108"/>
      <c r="D41" s="108"/>
      <c r="E41" s="108"/>
      <c r="F41" s="108"/>
      <c r="G41" s="109"/>
      <c r="H41" s="108"/>
      <c r="I41" s="108"/>
      <c r="J41" s="108"/>
      <c r="K41" s="108"/>
      <c r="L41" s="108"/>
      <c r="M41" s="19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8"/>
      <c r="C42" s="108"/>
      <c r="D42" s="108"/>
      <c r="E42" s="108"/>
      <c r="F42" s="108"/>
      <c r="G42" s="109"/>
      <c r="H42" s="108"/>
      <c r="I42" s="108"/>
      <c r="J42" s="108"/>
      <c r="K42" s="108"/>
      <c r="L42" s="108"/>
      <c r="M42" s="19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8"/>
      <c r="C43" s="108"/>
      <c r="D43" s="108"/>
      <c r="E43" s="108"/>
      <c r="F43" s="108"/>
      <c r="G43" s="109"/>
      <c r="H43" s="108"/>
      <c r="I43" s="108"/>
      <c r="J43" s="108"/>
      <c r="K43" s="108"/>
      <c r="L43" s="108"/>
      <c r="M43" s="19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8"/>
      <c r="C44" s="108"/>
      <c r="D44" s="108"/>
      <c r="E44" s="108"/>
      <c r="F44" s="108"/>
      <c r="G44" s="109"/>
      <c r="H44" s="108"/>
      <c r="I44" s="108"/>
      <c r="J44" s="108"/>
      <c r="K44" s="108"/>
      <c r="L44" s="108"/>
      <c r="M44" s="19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8"/>
      <c r="C45" s="108"/>
      <c r="D45" s="108"/>
      <c r="E45" s="108"/>
      <c r="F45" s="108"/>
      <c r="G45" s="109"/>
      <c r="H45" s="108"/>
      <c r="I45" s="108"/>
      <c r="J45" s="108"/>
      <c r="K45" s="108"/>
      <c r="L45" s="108"/>
      <c r="M45" s="19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8"/>
      <c r="C46" s="108"/>
      <c r="D46" s="108"/>
      <c r="E46" s="108"/>
      <c r="F46" s="108"/>
      <c r="G46" s="109"/>
      <c r="H46" s="108"/>
      <c r="I46" s="108"/>
      <c r="J46" s="108"/>
      <c r="K46" s="108"/>
      <c r="L46" s="108"/>
      <c r="M46" s="19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8"/>
      <c r="C47" s="108"/>
      <c r="D47" s="108"/>
      <c r="E47" s="108"/>
      <c r="F47" s="108"/>
      <c r="G47" s="109"/>
      <c r="H47" s="108"/>
      <c r="I47" s="108"/>
      <c r="J47" s="108"/>
      <c r="K47" s="108"/>
      <c r="L47" s="108"/>
      <c r="M47" s="19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8"/>
      <c r="C48" s="108"/>
      <c r="D48" s="108"/>
      <c r="E48" s="108"/>
      <c r="F48" s="108"/>
      <c r="G48" s="109"/>
      <c r="H48" s="108"/>
      <c r="I48" s="108"/>
      <c r="J48" s="108"/>
      <c r="K48" s="108"/>
      <c r="L48" s="108"/>
      <c r="M48" s="19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8"/>
      <c r="C49" s="108"/>
      <c r="D49" s="108"/>
      <c r="E49" s="108"/>
      <c r="F49" s="108"/>
      <c r="G49" s="109"/>
      <c r="H49" s="108"/>
      <c r="I49" s="108"/>
      <c r="J49" s="108"/>
      <c r="K49" s="108"/>
      <c r="L49" s="108"/>
      <c r="M49" s="19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8"/>
      <c r="C50" s="108"/>
      <c r="D50" s="108"/>
      <c r="E50" s="108"/>
      <c r="F50" s="108"/>
      <c r="G50" s="109"/>
      <c r="H50" s="108"/>
      <c r="I50" s="108"/>
      <c r="J50" s="108"/>
      <c r="K50" s="108"/>
      <c r="L50" s="108"/>
      <c r="M50" s="19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B33:C34"/>
    <mergeCell ref="D33:D34"/>
    <mergeCell ref="B35:C36"/>
    <mergeCell ref="D35:D36"/>
    <mergeCell ref="H20:J20"/>
    <mergeCell ref="K9:L9"/>
    <mergeCell ref="K10:L11"/>
    <mergeCell ref="K12:L13"/>
    <mergeCell ref="K14:L15"/>
    <mergeCell ref="K16:L17"/>
    <mergeCell ref="K18:L19"/>
    <mergeCell ref="K20:L20"/>
    <mergeCell ref="K23:L30"/>
    <mergeCell ref="B23:C24"/>
    <mergeCell ref="B25:C26"/>
    <mergeCell ref="B27:C28"/>
    <mergeCell ref="D27:D28"/>
    <mergeCell ref="B29:C30"/>
    <mergeCell ref="D29:D30"/>
    <mergeCell ref="H29:I30"/>
    <mergeCell ref="B31:C32"/>
    <mergeCell ref="D31:D32"/>
    <mergeCell ref="H27:I28"/>
    <mergeCell ref="D25:D26"/>
    <mergeCell ref="N31:P32"/>
    <mergeCell ref="N22:P22"/>
    <mergeCell ref="J23:J24"/>
    <mergeCell ref="J25:J26"/>
    <mergeCell ref="J27:J28"/>
    <mergeCell ref="N14:O15"/>
    <mergeCell ref="P14:P15"/>
    <mergeCell ref="N16:O17"/>
    <mergeCell ref="P16:P17"/>
    <mergeCell ref="N23:P24"/>
    <mergeCell ref="N25:P26"/>
    <mergeCell ref="N27:P28"/>
    <mergeCell ref="N29:P30"/>
    <mergeCell ref="J29:J30"/>
    <mergeCell ref="K22:L22"/>
    <mergeCell ref="J16:J17"/>
    <mergeCell ref="N20:O20"/>
    <mergeCell ref="H14:H15"/>
    <mergeCell ref="I14:I15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H23:I24"/>
    <mergeCell ref="I18:I19"/>
    <mergeCell ref="H22:I22"/>
    <mergeCell ref="E23:F28"/>
    <mergeCell ref="Q6:R6"/>
    <mergeCell ref="H10:H11"/>
    <mergeCell ref="I10:I11"/>
    <mergeCell ref="P12:P13"/>
    <mergeCell ref="B12:B13"/>
    <mergeCell ref="C12:C13"/>
    <mergeCell ref="D12:D13"/>
    <mergeCell ref="E12:E13"/>
    <mergeCell ref="F12:F13"/>
    <mergeCell ref="H12:H13"/>
    <mergeCell ref="I12:I13"/>
    <mergeCell ref="J12:J13"/>
    <mergeCell ref="B8:F8"/>
    <mergeCell ref="H8:L8"/>
    <mergeCell ref="N8:P8"/>
    <mergeCell ref="B10:B11"/>
    <mergeCell ref="C10:C11"/>
    <mergeCell ref="D10:D11"/>
    <mergeCell ref="P10:P11"/>
    <mergeCell ref="E10:E11"/>
    <mergeCell ref="F10:F11"/>
    <mergeCell ref="J10:J11"/>
    <mergeCell ref="N9:O9"/>
    <mergeCell ref="N10:O11"/>
    <mergeCell ref="E29:F36"/>
    <mergeCell ref="N12:O13"/>
    <mergeCell ref="B3:I3"/>
    <mergeCell ref="J3:P3"/>
    <mergeCell ref="B6:C6"/>
    <mergeCell ref="D6:E6"/>
    <mergeCell ref="H6:I6"/>
    <mergeCell ref="J6:K6"/>
    <mergeCell ref="B20:E20"/>
    <mergeCell ref="J18:J19"/>
    <mergeCell ref="B18:B19"/>
    <mergeCell ref="B16:B17"/>
    <mergeCell ref="C16:C17"/>
    <mergeCell ref="D16:D17"/>
    <mergeCell ref="E16:E17"/>
    <mergeCell ref="F16:F17"/>
    <mergeCell ref="H16:H17"/>
    <mergeCell ref="I16:I17"/>
    <mergeCell ref="J14:J15"/>
    <mergeCell ref="B14:B15"/>
    <mergeCell ref="C14:C15"/>
    <mergeCell ref="D14:D15"/>
    <mergeCell ref="E14:E15"/>
    <mergeCell ref="F14:F15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0" t="s">
        <v>0</v>
      </c>
      <c r="C3" s="161"/>
      <c r="D3" s="161"/>
      <c r="E3" s="161"/>
      <c r="F3" s="161"/>
      <c r="G3" s="161"/>
      <c r="H3" s="161"/>
      <c r="I3" s="161"/>
      <c r="J3" s="162" t="s">
        <v>40</v>
      </c>
      <c r="K3" s="161"/>
      <c r="L3" s="161"/>
      <c r="M3" s="161"/>
      <c r="N3" s="161"/>
      <c r="O3" s="161"/>
      <c r="P3" s="16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63" t="s">
        <v>2</v>
      </c>
      <c r="C6" s="164"/>
      <c r="D6" s="165"/>
      <c r="E6" s="166"/>
      <c r="F6" s="3"/>
      <c r="G6" s="3"/>
      <c r="H6" s="163" t="s">
        <v>3</v>
      </c>
      <c r="I6" s="164"/>
      <c r="J6" s="167" t="s">
        <v>41</v>
      </c>
      <c r="K6" s="166"/>
      <c r="L6" s="3"/>
      <c r="M6" s="3"/>
      <c r="N6" s="3"/>
      <c r="O6" s="4" t="s">
        <v>5</v>
      </c>
      <c r="P6" s="5">
        <f ca="1">TODAY()</f>
        <v>46050</v>
      </c>
      <c r="Q6" s="182"/>
      <c r="R6" s="161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5" t="s">
        <v>6</v>
      </c>
      <c r="C8" s="169"/>
      <c r="D8" s="169"/>
      <c r="E8" s="169"/>
      <c r="F8" s="166"/>
      <c r="G8" s="6"/>
      <c r="H8" s="186" t="s">
        <v>7</v>
      </c>
      <c r="I8" s="169"/>
      <c r="J8" s="169"/>
      <c r="K8" s="169"/>
      <c r="L8" s="166"/>
      <c r="M8" s="6"/>
      <c r="N8" s="189" t="s">
        <v>8</v>
      </c>
      <c r="O8" s="169"/>
      <c r="P8" s="16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1"/>
      <c r="O9" s="16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62">
        <v>1</v>
      </c>
      <c r="C10" s="259" t="s">
        <v>42</v>
      </c>
      <c r="D10" s="228">
        <v>3560</v>
      </c>
      <c r="E10" s="227"/>
      <c r="F10" s="228">
        <f>(D10*E10)+D10</f>
        <v>3560</v>
      </c>
      <c r="G10" s="12"/>
      <c r="H10" s="228">
        <v>1330</v>
      </c>
      <c r="I10" s="228">
        <v>1330</v>
      </c>
      <c r="J10" s="228">
        <v>1330</v>
      </c>
      <c r="K10" s="228">
        <v>760</v>
      </c>
      <c r="L10" s="228">
        <f>SUM(H10:K10)</f>
        <v>4750</v>
      </c>
      <c r="M10" s="12"/>
      <c r="N10" s="267" t="s">
        <v>19</v>
      </c>
      <c r="O10" s="257"/>
      <c r="P10" s="190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4"/>
      <c r="C11" s="184"/>
      <c r="D11" s="184"/>
      <c r="E11" s="184"/>
      <c r="F11" s="184"/>
      <c r="G11" s="12"/>
      <c r="H11" s="184"/>
      <c r="I11" s="184"/>
      <c r="J11" s="184"/>
      <c r="K11" s="184"/>
      <c r="L11" s="184"/>
      <c r="M11" s="12"/>
      <c r="N11" s="239"/>
      <c r="O11" s="255"/>
      <c r="P11" s="18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29">
        <v>2</v>
      </c>
      <c r="C12" s="229" t="s">
        <v>43</v>
      </c>
      <c r="D12" s="230">
        <v>3560</v>
      </c>
      <c r="E12" s="231"/>
      <c r="F12" s="228">
        <f>(D12*E12)+D12</f>
        <v>3560</v>
      </c>
      <c r="G12" s="12"/>
      <c r="H12" s="230"/>
      <c r="I12" s="230">
        <v>1330</v>
      </c>
      <c r="J12" s="230"/>
      <c r="K12" s="230"/>
      <c r="L12" s="228">
        <f>SUM(H12:K12)</f>
        <v>1330</v>
      </c>
      <c r="M12" s="12"/>
      <c r="N12" s="156" t="s">
        <v>21</v>
      </c>
      <c r="O12" s="257"/>
      <c r="P12" s="183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4"/>
      <c r="C13" s="184"/>
      <c r="D13" s="184"/>
      <c r="E13" s="184"/>
      <c r="F13" s="184"/>
      <c r="G13" s="12"/>
      <c r="H13" s="184"/>
      <c r="I13" s="184"/>
      <c r="J13" s="184"/>
      <c r="K13" s="184"/>
      <c r="L13" s="184"/>
      <c r="M13" s="12"/>
      <c r="N13" s="239"/>
      <c r="O13" s="255"/>
      <c r="P13" s="184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8" t="s">
        <v>19</v>
      </c>
      <c r="C14" s="169"/>
      <c r="D14" s="169"/>
      <c r="E14" s="166"/>
      <c r="F14" s="14">
        <f>SUM(F10:F13)</f>
        <v>7120</v>
      </c>
      <c r="G14" s="13"/>
      <c r="H14" s="263" t="s">
        <v>21</v>
      </c>
      <c r="I14" s="169"/>
      <c r="J14" s="169"/>
      <c r="K14" s="166"/>
      <c r="L14" s="15">
        <f>SUM(L10:L13)</f>
        <v>6080</v>
      </c>
      <c r="M14" s="13"/>
      <c r="N14" s="263" t="s">
        <v>25</v>
      </c>
      <c r="O14" s="166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43" t="s">
        <v>26</v>
      </c>
      <c r="C16" s="244"/>
      <c r="D16" s="23" t="s">
        <v>9</v>
      </c>
      <c r="E16" s="243" t="s">
        <v>27</v>
      </c>
      <c r="F16" s="244"/>
      <c r="G16" s="6"/>
      <c r="H16" s="186" t="s">
        <v>26</v>
      </c>
      <c r="I16" s="166"/>
      <c r="J16" s="24" t="s">
        <v>9</v>
      </c>
      <c r="K16" s="186" t="s">
        <v>27</v>
      </c>
      <c r="L16" s="166"/>
      <c r="M16" s="6"/>
      <c r="N16" s="189" t="s">
        <v>28</v>
      </c>
      <c r="O16" s="169"/>
      <c r="P16" s="16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38" t="s">
        <v>29</v>
      </c>
      <c r="C17" s="233"/>
      <c r="D17" s="245">
        <f>COUNT(B10:B13)</f>
        <v>2</v>
      </c>
      <c r="E17" s="246" t="s">
        <v>30</v>
      </c>
      <c r="F17" s="247"/>
      <c r="G17" s="19"/>
      <c r="H17" s="256" t="s">
        <v>31</v>
      </c>
      <c r="I17" s="257"/>
      <c r="J17" s="229">
        <f>COUNT(H10:H13)</f>
        <v>1</v>
      </c>
      <c r="K17" s="260" t="s">
        <v>32</v>
      </c>
      <c r="L17" s="257"/>
      <c r="M17" s="19"/>
      <c r="N17" s="266" t="s">
        <v>44</v>
      </c>
      <c r="O17" s="265"/>
      <c r="P17" s="25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34"/>
      <c r="C18" s="235"/>
      <c r="D18" s="237"/>
      <c r="E18" s="248"/>
      <c r="F18" s="249"/>
      <c r="G18" s="19"/>
      <c r="H18" s="239"/>
      <c r="I18" s="255"/>
      <c r="J18" s="184"/>
      <c r="K18" s="261"/>
      <c r="L18" s="249"/>
      <c r="M18" s="19"/>
      <c r="N18" s="239"/>
      <c r="O18" s="254"/>
      <c r="P18" s="255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32" t="s">
        <v>33</v>
      </c>
      <c r="C19" s="233"/>
      <c r="D19" s="252">
        <f>COUNT(B10:B15)*2</f>
        <v>4</v>
      </c>
      <c r="E19" s="248"/>
      <c r="F19" s="249"/>
      <c r="G19" s="19"/>
      <c r="H19" s="258" t="s">
        <v>15</v>
      </c>
      <c r="I19" s="257"/>
      <c r="J19" s="262">
        <f>COUNT(I10:I13)</f>
        <v>2</v>
      </c>
      <c r="K19" s="261"/>
      <c r="L19" s="249"/>
      <c r="M19" s="19"/>
      <c r="N19" s="264"/>
      <c r="O19" s="265"/>
      <c r="P19" s="25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34"/>
      <c r="C20" s="235"/>
      <c r="D20" s="237"/>
      <c r="E20" s="250"/>
      <c r="F20" s="251"/>
      <c r="G20" s="19"/>
      <c r="H20" s="239"/>
      <c r="I20" s="255"/>
      <c r="J20" s="184"/>
      <c r="K20" s="239"/>
      <c r="L20" s="255"/>
      <c r="M20" s="19"/>
      <c r="N20" s="239"/>
      <c r="O20" s="254"/>
      <c r="P20" s="255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38" t="s">
        <v>34</v>
      </c>
      <c r="C21" s="233"/>
      <c r="D21" s="241">
        <v>2</v>
      </c>
      <c r="E21" s="253" t="s">
        <v>35</v>
      </c>
      <c r="F21" s="247"/>
      <c r="G21" s="20"/>
      <c r="H21" s="256" t="s">
        <v>16</v>
      </c>
      <c r="I21" s="257"/>
      <c r="J21" s="229">
        <f>COUNT(J10:J13)</f>
        <v>1</v>
      </c>
      <c r="K21" s="260" t="s">
        <v>36</v>
      </c>
      <c r="L21" s="257"/>
      <c r="M21" s="19"/>
      <c r="N21" s="266"/>
      <c r="O21" s="265"/>
      <c r="P21" s="25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34"/>
      <c r="C22" s="235"/>
      <c r="D22" s="237"/>
      <c r="E22" s="161"/>
      <c r="F22" s="249"/>
      <c r="G22" s="20"/>
      <c r="H22" s="239"/>
      <c r="I22" s="255"/>
      <c r="J22" s="184"/>
      <c r="K22" s="261"/>
      <c r="L22" s="249"/>
      <c r="M22" s="19"/>
      <c r="N22" s="239"/>
      <c r="O22" s="254"/>
      <c r="P22" s="25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32" t="s">
        <v>37</v>
      </c>
      <c r="C23" s="233"/>
      <c r="D23" s="236">
        <v>2</v>
      </c>
      <c r="E23" s="161"/>
      <c r="F23" s="249"/>
      <c r="G23" s="20"/>
      <c r="H23" s="258" t="s">
        <v>17</v>
      </c>
      <c r="I23" s="257"/>
      <c r="J23" s="259">
        <f>COUNT(K10:K13)</f>
        <v>1</v>
      </c>
      <c r="K23" s="261"/>
      <c r="L23" s="249"/>
      <c r="M23" s="19"/>
      <c r="N23" s="264"/>
      <c r="O23" s="265"/>
      <c r="P23" s="25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34"/>
      <c r="C24" s="235"/>
      <c r="D24" s="237"/>
      <c r="E24" s="161"/>
      <c r="F24" s="249"/>
      <c r="G24" s="20"/>
      <c r="H24" s="239"/>
      <c r="I24" s="255"/>
      <c r="J24" s="184"/>
      <c r="K24" s="261"/>
      <c r="L24" s="249"/>
      <c r="M24" s="19"/>
      <c r="N24" s="239"/>
      <c r="O24" s="254"/>
      <c r="P24" s="255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38" t="s">
        <v>38</v>
      </c>
      <c r="C25" s="233"/>
      <c r="D25" s="241">
        <f>COUNT(B10:B13)</f>
        <v>2</v>
      </c>
      <c r="E25" s="161"/>
      <c r="F25" s="249"/>
      <c r="G25" s="20"/>
      <c r="H25" s="256" t="s">
        <v>39</v>
      </c>
      <c r="I25" s="257"/>
      <c r="J25" s="229">
        <v>0</v>
      </c>
      <c r="K25" s="261"/>
      <c r="L25" s="249"/>
      <c r="M25" s="19"/>
      <c r="N25" s="266"/>
      <c r="O25" s="265"/>
      <c r="P25" s="25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239"/>
      <c r="C26" s="240"/>
      <c r="D26" s="242"/>
      <c r="E26" s="254"/>
      <c r="F26" s="255"/>
      <c r="G26" s="20"/>
      <c r="H26" s="239"/>
      <c r="I26" s="255"/>
      <c r="J26" s="184"/>
      <c r="K26" s="239"/>
      <c r="L26" s="255"/>
      <c r="M26" s="19"/>
      <c r="N26" s="239"/>
      <c r="O26" s="254"/>
      <c r="P26" s="255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A18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4"/>
    <col min="2" max="2" width="10.85546875" style="114" customWidth="1"/>
    <col min="3" max="3" width="37.42578125" style="114" customWidth="1"/>
    <col min="4" max="6" width="25.85546875" style="114" customWidth="1"/>
    <col min="7" max="7" width="5.85546875" style="114" customWidth="1"/>
    <col min="8" max="8" width="25.140625" style="114" customWidth="1"/>
    <col min="9" max="9" width="23.85546875" style="114" customWidth="1"/>
    <col min="10" max="10" width="24.140625" style="114" customWidth="1"/>
    <col min="11" max="11" width="26.5703125" style="114" customWidth="1"/>
    <col min="12" max="12" width="25.85546875" style="114" customWidth="1"/>
    <col min="13" max="13" width="6.140625" style="114" customWidth="1"/>
    <col min="14" max="14" width="29.85546875" style="114" customWidth="1"/>
    <col min="15" max="15" width="39.42578125" style="114" customWidth="1"/>
    <col min="16" max="16" width="25.85546875" style="114" customWidth="1"/>
    <col min="17" max="17" width="30.85546875" style="114" customWidth="1"/>
    <col min="18" max="18" width="27.7109375" style="114" bestFit="1" customWidth="1"/>
    <col min="19" max="19" width="25.85546875" style="114" customWidth="1"/>
    <col min="20" max="20" width="29.42578125" style="114" bestFit="1" customWidth="1"/>
    <col min="21" max="21" width="32" style="114" bestFit="1" customWidth="1"/>
    <col min="22" max="23" width="25.85546875" style="114" customWidth="1"/>
    <col min="24" max="24" width="5.42578125" style="114" customWidth="1"/>
    <col min="25" max="27" width="25.85546875" style="114" customWidth="1"/>
    <col min="28" max="28" width="26.85546875" style="114" bestFit="1" customWidth="1"/>
    <col min="29" max="29" width="24.7109375" style="114" customWidth="1"/>
    <col min="30" max="30" width="5" style="114" customWidth="1"/>
    <col min="31" max="31" width="12.5703125" style="114"/>
    <col min="32" max="32" width="38.85546875" style="114" customWidth="1"/>
    <col min="33" max="33" width="22.28515625" style="114" bestFit="1" customWidth="1"/>
    <col min="34" max="16384" width="12.5703125" style="114"/>
  </cols>
  <sheetData>
    <row r="1" spans="2:38" ht="15.75" customHeight="1"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</row>
    <row r="2" spans="2:38" ht="15.75" customHeight="1"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</row>
    <row r="3" spans="2:38" ht="54" customHeight="1">
      <c r="B3" s="328" t="s">
        <v>162</v>
      </c>
      <c r="C3" s="306"/>
      <c r="D3" s="306"/>
      <c r="E3" s="306"/>
      <c r="F3" s="306"/>
      <c r="G3" s="306"/>
      <c r="H3" s="306"/>
      <c r="I3" s="306"/>
      <c r="J3" s="306"/>
      <c r="K3" s="306"/>
      <c r="L3" s="306"/>
      <c r="M3" s="306"/>
      <c r="N3" s="306"/>
      <c r="O3" s="306"/>
      <c r="P3" s="320" t="s">
        <v>40</v>
      </c>
      <c r="Q3" s="306"/>
      <c r="R3" s="306"/>
      <c r="S3" s="306"/>
      <c r="T3" s="306"/>
      <c r="U3" s="306"/>
      <c r="V3" s="306"/>
      <c r="W3" s="306"/>
      <c r="X3" s="306"/>
      <c r="Y3" s="306"/>
      <c r="Z3" s="306"/>
      <c r="AA3" s="306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</row>
    <row r="4" spans="2:38" ht="15" customHeight="1"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</row>
    <row r="5" spans="2:38" ht="15.75" customHeight="1">
      <c r="B5" s="115"/>
      <c r="C5" s="115"/>
      <c r="D5" s="115"/>
      <c r="E5" s="115"/>
      <c r="F5" s="115"/>
      <c r="G5" s="115"/>
      <c r="H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</row>
    <row r="6" spans="2:38" ht="31.5" customHeight="1">
      <c r="B6" s="324" t="s">
        <v>2</v>
      </c>
      <c r="C6" s="322"/>
      <c r="D6" s="325"/>
      <c r="E6" s="283"/>
      <c r="F6" s="143"/>
      <c r="G6" s="143"/>
      <c r="H6" s="324" t="s">
        <v>3</v>
      </c>
      <c r="I6" s="326"/>
      <c r="J6" s="327" t="s">
        <v>153</v>
      </c>
      <c r="K6" s="283"/>
      <c r="L6" s="143"/>
      <c r="M6" s="142"/>
      <c r="N6" s="321" t="s">
        <v>45</v>
      </c>
      <c r="O6" s="322"/>
      <c r="P6" s="141"/>
      <c r="Q6" s="323" t="s">
        <v>46</v>
      </c>
      <c r="R6" s="283"/>
      <c r="AB6" s="331"/>
      <c r="AC6" s="306"/>
      <c r="AD6" s="115"/>
      <c r="AE6" s="140"/>
      <c r="AF6" s="139" t="s">
        <v>5</v>
      </c>
      <c r="AG6" s="138">
        <f ca="1">TODAY()</f>
        <v>46050</v>
      </c>
      <c r="AH6" s="115"/>
      <c r="AI6" s="115"/>
      <c r="AJ6" s="115"/>
      <c r="AK6" s="115"/>
      <c r="AL6" s="115"/>
    </row>
    <row r="7" spans="2:38" ht="31.5" customHeight="1">
      <c r="B7" s="123"/>
      <c r="C7" s="123"/>
      <c r="D7" s="124"/>
      <c r="E7" s="123"/>
      <c r="F7" s="123"/>
      <c r="G7" s="123"/>
      <c r="H7" s="123"/>
      <c r="I7" s="123"/>
      <c r="J7" s="123"/>
      <c r="K7" s="123"/>
      <c r="L7" s="123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</row>
    <row r="8" spans="2:38" ht="31.5" customHeight="1">
      <c r="B8" s="329" t="s">
        <v>6</v>
      </c>
      <c r="C8" s="302"/>
      <c r="D8" s="302"/>
      <c r="E8" s="302"/>
      <c r="F8" s="283"/>
      <c r="G8" s="120"/>
      <c r="H8" s="282" t="s">
        <v>7</v>
      </c>
      <c r="I8" s="302"/>
      <c r="J8" s="302"/>
      <c r="K8" s="302"/>
      <c r="L8" s="283"/>
      <c r="M8" s="118"/>
      <c r="N8" s="314" t="s">
        <v>70</v>
      </c>
      <c r="O8" s="302"/>
      <c r="P8" s="302"/>
      <c r="Q8" s="302"/>
      <c r="R8" s="302"/>
      <c r="S8" s="302"/>
      <c r="T8" s="302"/>
      <c r="U8" s="302"/>
      <c r="V8" s="302"/>
      <c r="W8" s="283"/>
      <c r="X8" s="117"/>
      <c r="Y8" s="282" t="s">
        <v>165</v>
      </c>
      <c r="Z8" s="302"/>
      <c r="AA8" s="302"/>
      <c r="AB8" s="302"/>
      <c r="AC8" s="283"/>
      <c r="AD8" s="115"/>
      <c r="AE8" s="332" t="s">
        <v>8</v>
      </c>
      <c r="AF8" s="302"/>
      <c r="AG8" s="283"/>
      <c r="AH8" s="115"/>
      <c r="AI8" s="115"/>
      <c r="AJ8" s="115"/>
      <c r="AK8" s="115"/>
      <c r="AL8" s="115"/>
    </row>
    <row r="9" spans="2:38" ht="31.5" customHeight="1">
      <c r="B9" s="137" t="s">
        <v>9</v>
      </c>
      <c r="C9" s="136" t="s">
        <v>10</v>
      </c>
      <c r="D9" s="134" t="s">
        <v>11</v>
      </c>
      <c r="E9" s="134" t="s">
        <v>12</v>
      </c>
      <c r="F9" s="134" t="s">
        <v>13</v>
      </c>
      <c r="G9" s="135"/>
      <c r="H9" s="134" t="s">
        <v>14</v>
      </c>
      <c r="I9" s="134" t="s">
        <v>15</v>
      </c>
      <c r="J9" s="134" t="s">
        <v>16</v>
      </c>
      <c r="K9" s="134" t="s">
        <v>17</v>
      </c>
      <c r="L9" s="134" t="s">
        <v>13</v>
      </c>
      <c r="M9" s="118"/>
      <c r="N9" s="133" t="s">
        <v>9</v>
      </c>
      <c r="O9" s="132" t="s">
        <v>10</v>
      </c>
      <c r="P9" s="132" t="s">
        <v>48</v>
      </c>
      <c r="Q9" s="132" t="s">
        <v>149</v>
      </c>
      <c r="R9" s="132" t="s">
        <v>51</v>
      </c>
      <c r="S9" s="132" t="s">
        <v>50</v>
      </c>
      <c r="T9" s="132" t="s">
        <v>58</v>
      </c>
      <c r="U9" s="132" t="s">
        <v>71</v>
      </c>
      <c r="V9" s="132" t="s">
        <v>151</v>
      </c>
      <c r="W9" s="132" t="s">
        <v>13</v>
      </c>
      <c r="X9" s="117"/>
      <c r="Y9" s="134" t="s">
        <v>14</v>
      </c>
      <c r="Z9" s="134" t="s">
        <v>15</v>
      </c>
      <c r="AA9" s="134" t="s">
        <v>16</v>
      </c>
      <c r="AB9" s="134" t="s">
        <v>17</v>
      </c>
      <c r="AC9" s="134" t="s">
        <v>13</v>
      </c>
      <c r="AD9" s="115"/>
      <c r="AE9" s="333"/>
      <c r="AF9" s="283"/>
      <c r="AG9" s="131" t="s">
        <v>13</v>
      </c>
      <c r="AH9" s="115"/>
      <c r="AI9" s="115"/>
      <c r="AJ9" s="115"/>
      <c r="AK9" s="115"/>
      <c r="AL9" s="115"/>
    </row>
    <row r="10" spans="2:38" ht="31.5" customHeight="1">
      <c r="B10" s="276">
        <v>101</v>
      </c>
      <c r="C10" s="276" t="s">
        <v>18</v>
      </c>
      <c r="D10" s="274">
        <v>2325</v>
      </c>
      <c r="E10" s="330"/>
      <c r="F10" s="274">
        <f>(D10*E10)+D10</f>
        <v>2325</v>
      </c>
      <c r="G10" s="130"/>
      <c r="H10" s="275"/>
      <c r="I10" s="274"/>
      <c r="J10" s="274">
        <v>1330</v>
      </c>
      <c r="K10" s="274"/>
      <c r="L10" s="274">
        <f>SUM(H10:K10)</f>
        <v>1330</v>
      </c>
      <c r="M10" s="118"/>
      <c r="N10" s="313">
        <v>1</v>
      </c>
      <c r="O10" s="312" t="s">
        <v>72</v>
      </c>
      <c r="P10" s="297">
        <v>190</v>
      </c>
      <c r="Q10" s="297">
        <v>190</v>
      </c>
      <c r="R10" s="297">
        <v>190</v>
      </c>
      <c r="S10" s="297">
        <v>190</v>
      </c>
      <c r="T10" s="297">
        <v>190</v>
      </c>
      <c r="U10" s="297">
        <v>90</v>
      </c>
      <c r="V10" s="297">
        <v>90</v>
      </c>
      <c r="W10" s="297">
        <f>SUM(P10:V10)</f>
        <v>1130</v>
      </c>
      <c r="X10" s="117"/>
      <c r="Y10" s="275"/>
      <c r="Z10" s="274"/>
      <c r="AA10" s="274">
        <v>1330</v>
      </c>
      <c r="AB10" s="274"/>
      <c r="AC10" s="274">
        <f>SUM(Y10:AB10)</f>
        <v>1330</v>
      </c>
      <c r="AD10" s="115"/>
      <c r="AE10" s="334" t="s">
        <v>19</v>
      </c>
      <c r="AF10" s="269"/>
      <c r="AG10" s="335">
        <f>F20</f>
        <v>13950</v>
      </c>
      <c r="AH10" s="115"/>
      <c r="AI10" s="115"/>
      <c r="AJ10" s="115"/>
      <c r="AK10" s="115"/>
      <c r="AL10" s="115"/>
    </row>
    <row r="11" spans="2:38" ht="31.5" customHeight="1">
      <c r="B11" s="273"/>
      <c r="C11" s="273"/>
      <c r="D11" s="273"/>
      <c r="E11" s="273"/>
      <c r="F11" s="273"/>
      <c r="G11" s="130"/>
      <c r="H11" s="273"/>
      <c r="I11" s="273"/>
      <c r="J11" s="273"/>
      <c r="K11" s="273"/>
      <c r="L11" s="273"/>
      <c r="M11" s="118"/>
      <c r="N11" s="273"/>
      <c r="O11" s="273"/>
      <c r="P11" s="273"/>
      <c r="Q11" s="273"/>
      <c r="R11" s="273"/>
      <c r="S11" s="273"/>
      <c r="T11" s="273"/>
      <c r="U11" s="273"/>
      <c r="V11" s="273"/>
      <c r="W11" s="273"/>
      <c r="X11" s="117"/>
      <c r="Y11" s="273"/>
      <c r="Z11" s="273"/>
      <c r="AA11" s="273"/>
      <c r="AB11" s="273"/>
      <c r="AC11" s="273"/>
      <c r="AD11" s="115"/>
      <c r="AE11" s="270"/>
      <c r="AF11" s="271"/>
      <c r="AG11" s="273"/>
      <c r="AH11" s="115"/>
      <c r="AI11" s="115"/>
      <c r="AJ11" s="115"/>
      <c r="AK11" s="115"/>
      <c r="AL11" s="115"/>
    </row>
    <row r="12" spans="2:38" ht="31.5" customHeight="1">
      <c r="B12" s="276">
        <v>102</v>
      </c>
      <c r="C12" s="276" t="s">
        <v>20</v>
      </c>
      <c r="D12" s="274">
        <v>2325</v>
      </c>
      <c r="E12" s="330">
        <v>0.75</v>
      </c>
      <c r="F12" s="274">
        <f>(D12*E12)+D12</f>
        <v>4068.75</v>
      </c>
      <c r="G12" s="130"/>
      <c r="H12" s="274">
        <v>1330</v>
      </c>
      <c r="I12" s="274">
        <v>1330</v>
      </c>
      <c r="J12" s="274"/>
      <c r="K12" s="274"/>
      <c r="L12" s="274">
        <f>SUM(H12:K12)</f>
        <v>2660</v>
      </c>
      <c r="M12" s="118"/>
      <c r="N12" s="310">
        <v>2</v>
      </c>
      <c r="O12" s="275" t="s">
        <v>150</v>
      </c>
      <c r="P12" s="297">
        <v>190</v>
      </c>
      <c r="Q12" s="297">
        <v>190</v>
      </c>
      <c r="R12" s="297">
        <v>190</v>
      </c>
      <c r="S12" s="297">
        <v>190</v>
      </c>
      <c r="T12" s="297">
        <v>190</v>
      </c>
      <c r="U12" s="297">
        <v>90</v>
      </c>
      <c r="V12" s="297">
        <v>90</v>
      </c>
      <c r="W12" s="297">
        <f>SUM(P12:V12)</f>
        <v>1130</v>
      </c>
      <c r="X12" s="117"/>
      <c r="Y12" s="274">
        <v>1330</v>
      </c>
      <c r="Z12" s="274">
        <v>1330</v>
      </c>
      <c r="AA12" s="274"/>
      <c r="AB12" s="274"/>
      <c r="AC12" s="274">
        <f>SUM(Y12:AB12)</f>
        <v>2660</v>
      </c>
      <c r="AD12" s="115"/>
      <c r="AE12" s="318" t="s">
        <v>53</v>
      </c>
      <c r="AF12" s="269"/>
      <c r="AG12" s="336">
        <f>W20</f>
        <v>5650</v>
      </c>
      <c r="AH12" s="115"/>
      <c r="AI12" s="115"/>
      <c r="AJ12" s="115"/>
      <c r="AK12" s="115"/>
      <c r="AL12" s="115"/>
    </row>
    <row r="13" spans="2:38" ht="31.5" customHeight="1">
      <c r="B13" s="273"/>
      <c r="C13" s="273"/>
      <c r="D13" s="273"/>
      <c r="E13" s="273"/>
      <c r="F13" s="273"/>
      <c r="G13" s="130"/>
      <c r="H13" s="273"/>
      <c r="I13" s="273"/>
      <c r="J13" s="273"/>
      <c r="K13" s="273"/>
      <c r="L13" s="273"/>
      <c r="M13" s="118"/>
      <c r="N13" s="273"/>
      <c r="O13" s="273"/>
      <c r="P13" s="273"/>
      <c r="Q13" s="273"/>
      <c r="R13" s="273"/>
      <c r="S13" s="273"/>
      <c r="T13" s="273"/>
      <c r="U13" s="273"/>
      <c r="V13" s="273"/>
      <c r="W13" s="273"/>
      <c r="X13" s="117"/>
      <c r="Y13" s="273"/>
      <c r="Z13" s="273"/>
      <c r="AA13" s="273"/>
      <c r="AB13" s="273"/>
      <c r="AC13" s="273"/>
      <c r="AD13" s="115"/>
      <c r="AE13" s="270"/>
      <c r="AF13" s="271"/>
      <c r="AG13" s="273"/>
      <c r="AH13" s="115"/>
      <c r="AI13" s="115"/>
      <c r="AJ13" s="115"/>
      <c r="AK13" s="115"/>
      <c r="AL13" s="115"/>
    </row>
    <row r="14" spans="2:38" ht="31.5" customHeight="1">
      <c r="B14" s="276">
        <v>103</v>
      </c>
      <c r="C14" s="276" t="s">
        <v>22</v>
      </c>
      <c r="D14" s="274">
        <v>2325</v>
      </c>
      <c r="E14" s="275"/>
      <c r="F14" s="274">
        <f>(D14*E14)+D14</f>
        <v>2325</v>
      </c>
      <c r="G14" s="129"/>
      <c r="H14" s="275"/>
      <c r="I14" s="275"/>
      <c r="J14" s="274">
        <v>1330</v>
      </c>
      <c r="K14" s="274"/>
      <c r="L14" s="274">
        <f>SUM(H14:K14)</f>
        <v>1330</v>
      </c>
      <c r="M14" s="118"/>
      <c r="N14" s="313">
        <v>3</v>
      </c>
      <c r="O14" s="312" t="s">
        <v>154</v>
      </c>
      <c r="P14" s="297">
        <v>190</v>
      </c>
      <c r="Q14" s="297">
        <v>190</v>
      </c>
      <c r="R14" s="297">
        <v>190</v>
      </c>
      <c r="S14" s="297">
        <v>190</v>
      </c>
      <c r="T14" s="297">
        <v>190</v>
      </c>
      <c r="U14" s="297">
        <v>90</v>
      </c>
      <c r="V14" s="297">
        <v>90</v>
      </c>
      <c r="W14" s="297">
        <f>SUM(P14:V14)</f>
        <v>1130</v>
      </c>
      <c r="X14" s="117"/>
      <c r="Y14" s="275"/>
      <c r="Z14" s="275"/>
      <c r="AA14" s="274">
        <v>1330</v>
      </c>
      <c r="AB14" s="274"/>
      <c r="AC14" s="274">
        <f>SUM(Y14:AB14)</f>
        <v>1330</v>
      </c>
      <c r="AD14" s="115"/>
      <c r="AE14" s="318" t="s">
        <v>21</v>
      </c>
      <c r="AF14" s="269"/>
      <c r="AG14" s="319">
        <f>L20</f>
        <v>8740</v>
      </c>
      <c r="AH14" s="115"/>
      <c r="AI14" s="115"/>
      <c r="AJ14" s="115"/>
      <c r="AK14" s="115"/>
      <c r="AL14" s="115"/>
    </row>
    <row r="15" spans="2:38" ht="31.5" customHeight="1">
      <c r="B15" s="273"/>
      <c r="C15" s="273"/>
      <c r="D15" s="273"/>
      <c r="E15" s="273"/>
      <c r="F15" s="273"/>
      <c r="G15" s="129"/>
      <c r="H15" s="273"/>
      <c r="I15" s="273"/>
      <c r="J15" s="273"/>
      <c r="K15" s="273"/>
      <c r="L15" s="273"/>
      <c r="M15" s="118"/>
      <c r="N15" s="273"/>
      <c r="O15" s="273"/>
      <c r="P15" s="273"/>
      <c r="Q15" s="273"/>
      <c r="R15" s="273"/>
      <c r="S15" s="273"/>
      <c r="T15" s="273"/>
      <c r="U15" s="273"/>
      <c r="V15" s="273"/>
      <c r="W15" s="273"/>
      <c r="X15" s="117"/>
      <c r="Y15" s="273"/>
      <c r="Z15" s="273"/>
      <c r="AA15" s="273"/>
      <c r="AB15" s="273"/>
      <c r="AC15" s="273"/>
      <c r="AD15" s="115"/>
      <c r="AE15" s="270"/>
      <c r="AF15" s="271"/>
      <c r="AG15" s="273"/>
      <c r="AH15" s="115"/>
      <c r="AI15" s="115"/>
      <c r="AJ15" s="115"/>
      <c r="AK15" s="115"/>
      <c r="AL15" s="115"/>
    </row>
    <row r="16" spans="2:38" ht="31.5" customHeight="1">
      <c r="B16" s="276">
        <v>104</v>
      </c>
      <c r="C16" s="276" t="s">
        <v>23</v>
      </c>
      <c r="D16" s="274">
        <v>2325</v>
      </c>
      <c r="E16" s="330">
        <v>0.25</v>
      </c>
      <c r="F16" s="274">
        <f>(D16*E16)+D16</f>
        <v>2906.25</v>
      </c>
      <c r="G16" s="129"/>
      <c r="H16" s="274">
        <v>1330</v>
      </c>
      <c r="I16" s="275"/>
      <c r="J16" s="275"/>
      <c r="K16" s="274">
        <v>760</v>
      </c>
      <c r="L16" s="274">
        <f>SUM(H16:K16)</f>
        <v>2090</v>
      </c>
      <c r="M16" s="118"/>
      <c r="N16" s="310">
        <v>4</v>
      </c>
      <c r="O16" s="275" t="s">
        <v>155</v>
      </c>
      <c r="P16" s="297">
        <v>190</v>
      </c>
      <c r="Q16" s="297">
        <v>190</v>
      </c>
      <c r="R16" s="297">
        <v>190</v>
      </c>
      <c r="S16" s="297">
        <v>190</v>
      </c>
      <c r="T16" s="297">
        <v>190</v>
      </c>
      <c r="U16" s="297">
        <v>90</v>
      </c>
      <c r="V16" s="297">
        <v>90</v>
      </c>
      <c r="W16" s="297">
        <f>SUM(P16:V16)</f>
        <v>1130</v>
      </c>
      <c r="X16" s="117"/>
      <c r="Y16" s="274">
        <v>1330</v>
      </c>
      <c r="Z16" s="275"/>
      <c r="AA16" s="275"/>
      <c r="AB16" s="274">
        <v>760</v>
      </c>
      <c r="AC16" s="274">
        <f>SUM(Y16:AB16)</f>
        <v>2090</v>
      </c>
      <c r="AD16" s="115"/>
      <c r="AE16" s="318" t="s">
        <v>164</v>
      </c>
      <c r="AF16" s="269"/>
      <c r="AG16" s="319">
        <f>AC20</f>
        <v>7410</v>
      </c>
      <c r="AH16" s="115"/>
      <c r="AI16" s="115"/>
      <c r="AJ16" s="115"/>
      <c r="AK16" s="115"/>
      <c r="AL16" s="115"/>
    </row>
    <row r="17" spans="2:38" ht="31.5" customHeight="1">
      <c r="B17" s="273"/>
      <c r="C17" s="273"/>
      <c r="D17" s="273"/>
      <c r="E17" s="273"/>
      <c r="F17" s="273"/>
      <c r="G17" s="129"/>
      <c r="H17" s="273"/>
      <c r="I17" s="273"/>
      <c r="J17" s="273"/>
      <c r="K17" s="273"/>
      <c r="L17" s="273"/>
      <c r="M17" s="118"/>
      <c r="N17" s="273"/>
      <c r="O17" s="273"/>
      <c r="P17" s="273"/>
      <c r="Q17" s="273"/>
      <c r="R17" s="273"/>
      <c r="S17" s="273"/>
      <c r="T17" s="273"/>
      <c r="U17" s="273"/>
      <c r="V17" s="273"/>
      <c r="W17" s="273"/>
      <c r="X17" s="117"/>
      <c r="Y17" s="273"/>
      <c r="Z17" s="273"/>
      <c r="AA17" s="273"/>
      <c r="AB17" s="273"/>
      <c r="AC17" s="273"/>
      <c r="AD17" s="115"/>
      <c r="AE17" s="270"/>
      <c r="AF17" s="271"/>
      <c r="AG17" s="273"/>
      <c r="AH17" s="115"/>
      <c r="AI17" s="115"/>
      <c r="AJ17" s="115"/>
      <c r="AK17" s="115"/>
      <c r="AL17" s="115"/>
    </row>
    <row r="18" spans="2:38" ht="31.5" customHeight="1">
      <c r="B18" s="276">
        <v>105</v>
      </c>
      <c r="C18" s="276" t="s">
        <v>24</v>
      </c>
      <c r="D18" s="274">
        <v>2325</v>
      </c>
      <c r="E18" s="275"/>
      <c r="F18" s="274">
        <f>(D18*E18)+D18</f>
        <v>2325</v>
      </c>
      <c r="G18" s="129"/>
      <c r="H18" s="275"/>
      <c r="I18" s="275"/>
      <c r="J18" s="274">
        <v>1330</v>
      </c>
      <c r="K18" s="275"/>
      <c r="L18" s="274">
        <f>SUM(H18:K18)</f>
        <v>1330</v>
      </c>
      <c r="M18" s="118"/>
      <c r="N18" s="313">
        <v>5</v>
      </c>
      <c r="O18" s="312" t="s">
        <v>156</v>
      </c>
      <c r="P18" s="297">
        <v>190</v>
      </c>
      <c r="Q18" s="297">
        <v>190</v>
      </c>
      <c r="R18" s="297">
        <v>190</v>
      </c>
      <c r="S18" s="297">
        <v>190</v>
      </c>
      <c r="T18" s="297">
        <v>190</v>
      </c>
      <c r="U18" s="297">
        <v>90</v>
      </c>
      <c r="V18" s="297">
        <v>90</v>
      </c>
      <c r="W18" s="297">
        <f>SUM(P18:V18)</f>
        <v>1130</v>
      </c>
      <c r="X18" s="117"/>
      <c r="Y18" s="275"/>
      <c r="Z18" s="275"/>
      <c r="AA18" s="274"/>
      <c r="AB18" s="275"/>
      <c r="AC18" s="274">
        <f>SUM(Y18:AB18)</f>
        <v>0</v>
      </c>
      <c r="AD18" s="115"/>
      <c r="AE18" s="337" t="s">
        <v>163</v>
      </c>
      <c r="AF18" s="269"/>
      <c r="AG18" s="338">
        <f>SUM(AG10:AG17)*0.1</f>
        <v>3575</v>
      </c>
      <c r="AH18" s="115"/>
      <c r="AI18" s="115"/>
      <c r="AJ18" s="115"/>
      <c r="AK18" s="115"/>
      <c r="AL18" s="115"/>
    </row>
    <row r="19" spans="2:38" ht="31.5" customHeight="1">
      <c r="B19" s="273"/>
      <c r="C19" s="273"/>
      <c r="D19" s="273"/>
      <c r="E19" s="273"/>
      <c r="F19" s="273"/>
      <c r="G19" s="129"/>
      <c r="H19" s="273"/>
      <c r="I19" s="273"/>
      <c r="J19" s="273"/>
      <c r="K19" s="273"/>
      <c r="L19" s="273"/>
      <c r="M19" s="118"/>
      <c r="N19" s="273"/>
      <c r="O19" s="273"/>
      <c r="P19" s="273"/>
      <c r="Q19" s="273"/>
      <c r="R19" s="273"/>
      <c r="S19" s="273"/>
      <c r="T19" s="273"/>
      <c r="U19" s="273"/>
      <c r="V19" s="273"/>
      <c r="W19" s="273"/>
      <c r="X19" s="117"/>
      <c r="Y19" s="273"/>
      <c r="Z19" s="273"/>
      <c r="AA19" s="273"/>
      <c r="AB19" s="273"/>
      <c r="AC19" s="273"/>
      <c r="AD19" s="115"/>
      <c r="AE19" s="270"/>
      <c r="AF19" s="271"/>
      <c r="AG19" s="273"/>
      <c r="AH19" s="115"/>
      <c r="AI19" s="115"/>
      <c r="AJ19" s="115"/>
      <c r="AK19" s="115"/>
      <c r="AL19" s="115"/>
    </row>
    <row r="20" spans="2:38" ht="31.5" customHeight="1">
      <c r="B20" s="339" t="s">
        <v>19</v>
      </c>
      <c r="C20" s="302"/>
      <c r="D20" s="302"/>
      <c r="E20" s="283"/>
      <c r="F20" s="128">
        <f>SUM(F10:F19)</f>
        <v>13950</v>
      </c>
      <c r="G20" s="120"/>
      <c r="H20" s="301" t="s">
        <v>21</v>
      </c>
      <c r="I20" s="302"/>
      <c r="J20" s="302"/>
      <c r="K20" s="283"/>
      <c r="L20" s="127">
        <f>SUM(L10:L19)</f>
        <v>8740</v>
      </c>
      <c r="M20" s="118"/>
      <c r="N20" s="315" t="s">
        <v>73</v>
      </c>
      <c r="O20" s="302"/>
      <c r="P20" s="302"/>
      <c r="Q20" s="302"/>
      <c r="R20" s="302"/>
      <c r="S20" s="302"/>
      <c r="T20" s="302"/>
      <c r="U20" s="302"/>
      <c r="V20" s="283"/>
      <c r="W20" s="126">
        <f>SUM(W10:W19)</f>
        <v>5650</v>
      </c>
      <c r="X20" s="117"/>
      <c r="Y20" s="301" t="s">
        <v>164</v>
      </c>
      <c r="Z20" s="302"/>
      <c r="AA20" s="302"/>
      <c r="AB20" s="283"/>
      <c r="AC20" s="127">
        <f>SUM(AC10:AC19)</f>
        <v>7410</v>
      </c>
      <c r="AD20" s="115"/>
      <c r="AE20" s="316" t="s">
        <v>25</v>
      </c>
      <c r="AF20" s="283"/>
      <c r="AG20" s="125">
        <f>SUM(AG10:AG17) - AG18</f>
        <v>32175</v>
      </c>
      <c r="AH20" s="115"/>
      <c r="AI20" s="115"/>
      <c r="AJ20" s="115"/>
      <c r="AK20" s="115"/>
      <c r="AL20" s="115"/>
    </row>
    <row r="21" spans="2:38" ht="31.5" customHeight="1">
      <c r="B21" s="123"/>
      <c r="C21" s="123"/>
      <c r="D21" s="124"/>
      <c r="E21" s="123"/>
      <c r="F21" s="123"/>
      <c r="G21" s="123"/>
      <c r="H21" s="123"/>
      <c r="I21" s="123"/>
      <c r="J21" s="123"/>
      <c r="K21" s="123"/>
      <c r="L21" s="123"/>
      <c r="M21" s="118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17"/>
      <c r="Y21" s="123"/>
      <c r="Z21" s="123"/>
      <c r="AA21" s="123"/>
      <c r="AB21" s="123"/>
      <c r="AC21" s="123"/>
      <c r="AD21" s="115"/>
      <c r="AE21" s="117"/>
      <c r="AF21" s="117"/>
      <c r="AG21" s="117"/>
      <c r="AH21" s="115"/>
      <c r="AI21" s="115"/>
      <c r="AJ21" s="115"/>
      <c r="AK21" s="115"/>
      <c r="AL21" s="115"/>
    </row>
    <row r="22" spans="2:38" ht="31.5" customHeight="1">
      <c r="B22" s="329" t="s">
        <v>26</v>
      </c>
      <c r="C22" s="283"/>
      <c r="D22" s="121" t="s">
        <v>9</v>
      </c>
      <c r="E22" s="311" t="s">
        <v>27</v>
      </c>
      <c r="F22" s="283"/>
      <c r="G22" s="120"/>
      <c r="H22" s="282" t="s">
        <v>26</v>
      </c>
      <c r="I22" s="283"/>
      <c r="J22" s="119" t="s">
        <v>9</v>
      </c>
      <c r="K22" s="294" t="s">
        <v>27</v>
      </c>
      <c r="L22" s="283"/>
      <c r="M22" s="118"/>
      <c r="N22" s="314" t="s">
        <v>26</v>
      </c>
      <c r="O22" s="302"/>
      <c r="P22" s="283"/>
      <c r="Q22" s="144" t="s">
        <v>9</v>
      </c>
      <c r="R22" s="314" t="s">
        <v>74</v>
      </c>
      <c r="S22" s="283"/>
      <c r="T22" s="314" t="s">
        <v>27</v>
      </c>
      <c r="U22" s="302"/>
      <c r="V22" s="302"/>
      <c r="W22" s="283"/>
      <c r="X22" s="117"/>
      <c r="Y22" s="282" t="s">
        <v>26</v>
      </c>
      <c r="Z22" s="283"/>
      <c r="AA22" s="119" t="s">
        <v>9</v>
      </c>
      <c r="AB22" s="294" t="s">
        <v>27</v>
      </c>
      <c r="AC22" s="283"/>
      <c r="AD22" s="115"/>
      <c r="AE22" s="321" t="s">
        <v>28</v>
      </c>
      <c r="AF22" s="302"/>
      <c r="AG22" s="283"/>
      <c r="AH22" s="115"/>
      <c r="AI22" s="115"/>
      <c r="AJ22" s="115"/>
      <c r="AK22" s="115"/>
      <c r="AL22" s="115"/>
    </row>
    <row r="23" spans="2:38" ht="31.5" customHeight="1">
      <c r="B23" s="281" t="s">
        <v>157</v>
      </c>
      <c r="C23" s="269"/>
      <c r="D23" s="272">
        <v>5</v>
      </c>
      <c r="E23" s="278" t="s">
        <v>30</v>
      </c>
      <c r="F23" s="269"/>
      <c r="G23" s="116"/>
      <c r="H23" s="277" t="s">
        <v>31</v>
      </c>
      <c r="I23" s="269"/>
      <c r="J23" s="272">
        <f>COUNT(H10:H19)</f>
        <v>2</v>
      </c>
      <c r="K23" s="303" t="s">
        <v>56</v>
      </c>
      <c r="L23" s="269"/>
      <c r="M23" s="118"/>
      <c r="N23" s="298" t="s">
        <v>54</v>
      </c>
      <c r="O23" s="299"/>
      <c r="P23" s="289"/>
      <c r="Q23" s="284">
        <f>COUNT(P10:P19)</f>
        <v>5</v>
      </c>
      <c r="R23" s="296" t="s">
        <v>75</v>
      </c>
      <c r="S23" s="289"/>
      <c r="T23" s="317" t="s">
        <v>161</v>
      </c>
      <c r="U23" s="305"/>
      <c r="V23" s="305"/>
      <c r="W23" s="269"/>
      <c r="X23" s="117"/>
      <c r="Y23" s="277" t="s">
        <v>31</v>
      </c>
      <c r="Z23" s="269"/>
      <c r="AA23" s="272">
        <f>COUNT(Y10:Y19)</f>
        <v>2</v>
      </c>
      <c r="AB23" s="303"/>
      <c r="AC23" s="269"/>
      <c r="AD23" s="115"/>
      <c r="AE23" s="304"/>
      <c r="AF23" s="305"/>
      <c r="AG23" s="269"/>
      <c r="AH23" s="115"/>
      <c r="AI23" s="115"/>
      <c r="AJ23" s="115"/>
      <c r="AK23" s="115"/>
      <c r="AL23" s="115"/>
    </row>
    <row r="24" spans="2:38" ht="31.5" customHeight="1">
      <c r="B24" s="270"/>
      <c r="C24" s="271"/>
      <c r="D24" s="273"/>
      <c r="E24" s="279"/>
      <c r="F24" s="280"/>
      <c r="G24" s="116"/>
      <c r="H24" s="270"/>
      <c r="I24" s="271"/>
      <c r="J24" s="273"/>
      <c r="K24" s="279"/>
      <c r="L24" s="280"/>
      <c r="M24" s="118"/>
      <c r="N24" s="290"/>
      <c r="O24" s="300"/>
      <c r="P24" s="291"/>
      <c r="Q24" s="309"/>
      <c r="R24" s="290"/>
      <c r="S24" s="291"/>
      <c r="T24" s="279"/>
      <c r="U24" s="306"/>
      <c r="V24" s="306"/>
      <c r="W24" s="280"/>
      <c r="X24" s="117"/>
      <c r="Y24" s="270"/>
      <c r="Z24" s="271"/>
      <c r="AA24" s="273"/>
      <c r="AB24" s="279"/>
      <c r="AC24" s="280"/>
      <c r="AD24" s="115"/>
      <c r="AE24" s="270"/>
      <c r="AF24" s="307"/>
      <c r="AG24" s="271"/>
      <c r="AH24" s="115"/>
      <c r="AI24" s="115"/>
      <c r="AJ24" s="115"/>
      <c r="AK24" s="115"/>
      <c r="AL24" s="115"/>
    </row>
    <row r="25" spans="2:38" ht="31.5" customHeight="1">
      <c r="B25" s="268" t="s">
        <v>33</v>
      </c>
      <c r="C25" s="269"/>
      <c r="D25" s="275">
        <v>5</v>
      </c>
      <c r="E25" s="279"/>
      <c r="F25" s="280"/>
      <c r="G25" s="116"/>
      <c r="H25" s="292" t="s">
        <v>15</v>
      </c>
      <c r="I25" s="269"/>
      <c r="J25" s="275">
        <f>COUNT(I10:I19)</f>
        <v>1</v>
      </c>
      <c r="K25" s="279"/>
      <c r="L25" s="280"/>
      <c r="M25" s="118"/>
      <c r="N25" s="308" t="s">
        <v>149</v>
      </c>
      <c r="O25" s="299"/>
      <c r="P25" s="289"/>
      <c r="Q25" s="286">
        <f>COUNT(Q10:Q19)</f>
        <v>5</v>
      </c>
      <c r="R25" s="288" t="s">
        <v>76</v>
      </c>
      <c r="S25" s="289"/>
      <c r="T25" s="279"/>
      <c r="U25" s="306"/>
      <c r="V25" s="306"/>
      <c r="W25" s="280"/>
      <c r="X25" s="117"/>
      <c r="Y25" s="292" t="s">
        <v>15</v>
      </c>
      <c r="Z25" s="269"/>
      <c r="AA25" s="275">
        <f>COUNT(Z10:Z19)</f>
        <v>1</v>
      </c>
      <c r="AB25" s="279"/>
      <c r="AC25" s="280"/>
      <c r="AD25" s="115"/>
      <c r="AE25" s="304"/>
      <c r="AF25" s="305"/>
      <c r="AG25" s="269"/>
      <c r="AH25" s="115"/>
      <c r="AI25" s="115"/>
      <c r="AJ25" s="115"/>
      <c r="AK25" s="115"/>
      <c r="AL25" s="115"/>
    </row>
    <row r="26" spans="2:38" ht="31.5" customHeight="1">
      <c r="B26" s="270"/>
      <c r="C26" s="271"/>
      <c r="D26" s="273"/>
      <c r="E26" s="270"/>
      <c r="F26" s="271"/>
      <c r="G26" s="116"/>
      <c r="H26" s="270"/>
      <c r="I26" s="271"/>
      <c r="J26" s="273"/>
      <c r="K26" s="270"/>
      <c r="L26" s="271"/>
      <c r="M26" s="118"/>
      <c r="N26" s="290"/>
      <c r="O26" s="300"/>
      <c r="P26" s="291"/>
      <c r="Q26" s="287"/>
      <c r="R26" s="290"/>
      <c r="S26" s="291"/>
      <c r="T26" s="270"/>
      <c r="U26" s="307"/>
      <c r="V26" s="307"/>
      <c r="W26" s="271"/>
      <c r="X26" s="117"/>
      <c r="Y26" s="270"/>
      <c r="Z26" s="271"/>
      <c r="AA26" s="273"/>
      <c r="AB26" s="270"/>
      <c r="AC26" s="271"/>
      <c r="AD26" s="115"/>
      <c r="AE26" s="270"/>
      <c r="AF26" s="307"/>
      <c r="AG26" s="271"/>
      <c r="AH26" s="115"/>
      <c r="AI26" s="115"/>
      <c r="AJ26" s="115"/>
      <c r="AK26" s="115"/>
      <c r="AL26" s="115"/>
    </row>
    <row r="27" spans="2:38" ht="31.5" customHeight="1">
      <c r="B27" s="281" t="s">
        <v>34</v>
      </c>
      <c r="C27" s="269"/>
      <c r="D27" s="272">
        <v>1</v>
      </c>
      <c r="E27" s="278" t="s">
        <v>35</v>
      </c>
      <c r="F27" s="269"/>
      <c r="G27" s="116"/>
      <c r="H27" s="277" t="s">
        <v>16</v>
      </c>
      <c r="I27" s="269"/>
      <c r="J27" s="272">
        <f>COUNT(J10:J19)</f>
        <v>3</v>
      </c>
      <c r="K27" s="303" t="s">
        <v>158</v>
      </c>
      <c r="L27" s="269"/>
      <c r="M27" s="118"/>
      <c r="N27" s="298" t="s">
        <v>51</v>
      </c>
      <c r="O27" s="299"/>
      <c r="P27" s="289"/>
      <c r="Q27" s="284">
        <f>COUNT(R10:R19)</f>
        <v>5</v>
      </c>
      <c r="R27" s="295" t="s">
        <v>159</v>
      </c>
      <c r="S27" s="289"/>
      <c r="T27" s="304"/>
      <c r="U27" s="305"/>
      <c r="V27" s="305"/>
      <c r="W27" s="269"/>
      <c r="X27" s="117"/>
      <c r="Y27" s="277" t="s">
        <v>16</v>
      </c>
      <c r="Z27" s="269"/>
      <c r="AA27" s="272">
        <f>COUNT(AA10:AA19)</f>
        <v>2</v>
      </c>
      <c r="AB27" s="303"/>
      <c r="AC27" s="269"/>
      <c r="AD27" s="115"/>
      <c r="AE27" s="304"/>
      <c r="AF27" s="305"/>
      <c r="AG27" s="269"/>
      <c r="AH27" s="115"/>
      <c r="AI27" s="115"/>
      <c r="AJ27" s="115"/>
      <c r="AK27" s="115"/>
      <c r="AL27" s="115"/>
    </row>
    <row r="28" spans="2:38" ht="31.5" customHeight="1">
      <c r="B28" s="270"/>
      <c r="C28" s="271"/>
      <c r="D28" s="273"/>
      <c r="E28" s="279"/>
      <c r="F28" s="280"/>
      <c r="G28" s="116"/>
      <c r="H28" s="270"/>
      <c r="I28" s="271"/>
      <c r="J28" s="273"/>
      <c r="K28" s="279"/>
      <c r="L28" s="280"/>
      <c r="M28" s="118"/>
      <c r="N28" s="290"/>
      <c r="O28" s="300"/>
      <c r="P28" s="291"/>
      <c r="Q28" s="285"/>
      <c r="R28" s="290"/>
      <c r="S28" s="291"/>
      <c r="T28" s="279"/>
      <c r="U28" s="306"/>
      <c r="V28" s="306"/>
      <c r="W28" s="280"/>
      <c r="X28" s="117"/>
      <c r="Y28" s="270"/>
      <c r="Z28" s="271"/>
      <c r="AA28" s="273"/>
      <c r="AB28" s="279"/>
      <c r="AC28" s="280"/>
      <c r="AD28" s="115"/>
      <c r="AE28" s="270"/>
      <c r="AF28" s="307"/>
      <c r="AG28" s="271"/>
      <c r="AH28" s="115"/>
      <c r="AI28" s="115"/>
      <c r="AJ28" s="115"/>
      <c r="AK28" s="115"/>
      <c r="AL28" s="115"/>
    </row>
    <row r="29" spans="2:38" ht="31.5" customHeight="1">
      <c r="B29" s="268" t="s">
        <v>37</v>
      </c>
      <c r="C29" s="269"/>
      <c r="D29" s="275">
        <v>1</v>
      </c>
      <c r="E29" s="279"/>
      <c r="F29" s="280"/>
      <c r="G29" s="116"/>
      <c r="H29" s="292" t="s">
        <v>17</v>
      </c>
      <c r="I29" s="269"/>
      <c r="J29" s="293">
        <f>COUNT(K10:K19)</f>
        <v>1</v>
      </c>
      <c r="K29" s="279"/>
      <c r="L29" s="280"/>
      <c r="M29" s="117"/>
      <c r="N29" s="308" t="s">
        <v>50</v>
      </c>
      <c r="O29" s="299"/>
      <c r="P29" s="289"/>
      <c r="Q29" s="286">
        <f>COUNT(S10:S19)</f>
        <v>5</v>
      </c>
      <c r="R29" s="288" t="s">
        <v>77</v>
      </c>
      <c r="S29" s="289"/>
      <c r="T29" s="279"/>
      <c r="U29" s="306"/>
      <c r="V29" s="306"/>
      <c r="W29" s="280"/>
      <c r="X29" s="117"/>
      <c r="Y29" s="292" t="s">
        <v>17</v>
      </c>
      <c r="Z29" s="269"/>
      <c r="AA29" s="293">
        <f>COUNT(AB10:AB19)</f>
        <v>1</v>
      </c>
      <c r="AB29" s="279"/>
      <c r="AC29" s="280"/>
      <c r="AD29" s="115"/>
      <c r="AE29" s="304"/>
      <c r="AF29" s="305"/>
      <c r="AG29" s="269"/>
      <c r="AH29" s="115"/>
      <c r="AI29" s="115"/>
      <c r="AJ29" s="115"/>
      <c r="AK29" s="115"/>
      <c r="AL29" s="115"/>
    </row>
    <row r="30" spans="2:38" ht="31.5" customHeight="1">
      <c r="B30" s="270"/>
      <c r="C30" s="271"/>
      <c r="D30" s="273"/>
      <c r="E30" s="279"/>
      <c r="F30" s="280"/>
      <c r="G30" s="116"/>
      <c r="H30" s="270"/>
      <c r="I30" s="271"/>
      <c r="J30" s="273"/>
      <c r="K30" s="279"/>
      <c r="L30" s="280"/>
      <c r="M30" s="117"/>
      <c r="N30" s="290"/>
      <c r="O30" s="300"/>
      <c r="P30" s="291"/>
      <c r="Q30" s="287"/>
      <c r="R30" s="290"/>
      <c r="S30" s="291"/>
      <c r="T30" s="279"/>
      <c r="U30" s="306"/>
      <c r="V30" s="306"/>
      <c r="W30" s="280"/>
      <c r="X30" s="117"/>
      <c r="Y30" s="270"/>
      <c r="Z30" s="271"/>
      <c r="AA30" s="273"/>
      <c r="AB30" s="279"/>
      <c r="AC30" s="280"/>
      <c r="AD30" s="115"/>
      <c r="AE30" s="270"/>
      <c r="AF30" s="307"/>
      <c r="AG30" s="271"/>
      <c r="AH30" s="115"/>
      <c r="AI30" s="115"/>
      <c r="AJ30" s="115"/>
      <c r="AK30" s="115"/>
      <c r="AL30" s="115"/>
    </row>
    <row r="31" spans="2:38" ht="31.5" customHeight="1">
      <c r="B31" s="281" t="s">
        <v>38</v>
      </c>
      <c r="C31" s="269"/>
      <c r="D31" s="272">
        <f>D23</f>
        <v>5</v>
      </c>
      <c r="E31" s="279"/>
      <c r="F31" s="280"/>
      <c r="G31" s="116"/>
      <c r="H31" s="277" t="s">
        <v>39</v>
      </c>
      <c r="I31" s="269"/>
      <c r="J31" s="272">
        <v>0</v>
      </c>
      <c r="K31" s="279"/>
      <c r="L31" s="280"/>
      <c r="M31" s="115"/>
      <c r="N31" s="298" t="s">
        <v>58</v>
      </c>
      <c r="O31" s="299"/>
      <c r="P31" s="289"/>
      <c r="Q31" s="284">
        <f>COUNT(T10:T19)</f>
        <v>5</v>
      </c>
      <c r="R31" s="295" t="s">
        <v>78</v>
      </c>
      <c r="S31" s="289"/>
      <c r="T31" s="279"/>
      <c r="U31" s="306"/>
      <c r="V31" s="306"/>
      <c r="W31" s="280"/>
      <c r="X31" s="115"/>
      <c r="Y31" s="277" t="s">
        <v>39</v>
      </c>
      <c r="Z31" s="269"/>
      <c r="AA31" s="272">
        <v>0</v>
      </c>
      <c r="AB31" s="279"/>
      <c r="AC31" s="280"/>
      <c r="AD31" s="115"/>
      <c r="AE31" s="304"/>
      <c r="AF31" s="305"/>
      <c r="AG31" s="269"/>
      <c r="AH31" s="115"/>
      <c r="AI31" s="115"/>
      <c r="AJ31" s="115"/>
      <c r="AK31" s="115"/>
      <c r="AL31" s="115"/>
    </row>
    <row r="32" spans="2:38" ht="31.5" customHeight="1">
      <c r="B32" s="270"/>
      <c r="C32" s="271"/>
      <c r="D32" s="273"/>
      <c r="E32" s="270"/>
      <c r="F32" s="271"/>
      <c r="G32" s="116"/>
      <c r="H32" s="270"/>
      <c r="I32" s="271"/>
      <c r="J32" s="273"/>
      <c r="K32" s="270"/>
      <c r="L32" s="271"/>
      <c r="M32" s="115"/>
      <c r="N32" s="290"/>
      <c r="O32" s="300"/>
      <c r="P32" s="291"/>
      <c r="Q32" s="285"/>
      <c r="R32" s="290"/>
      <c r="S32" s="291"/>
      <c r="T32" s="279"/>
      <c r="U32" s="306"/>
      <c r="V32" s="306"/>
      <c r="W32" s="280"/>
      <c r="X32" s="115"/>
      <c r="Y32" s="270"/>
      <c r="Z32" s="271"/>
      <c r="AA32" s="273"/>
      <c r="AB32" s="270"/>
      <c r="AC32" s="271"/>
      <c r="AD32" s="115"/>
      <c r="AE32" s="270"/>
      <c r="AF32" s="307"/>
      <c r="AG32" s="271"/>
      <c r="AH32" s="115"/>
      <c r="AI32" s="115"/>
      <c r="AJ32" s="115"/>
      <c r="AK32" s="115"/>
      <c r="AL32" s="115"/>
    </row>
    <row r="33" spans="2:38" ht="31.5" customHeight="1"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308" t="s">
        <v>38</v>
      </c>
      <c r="O33" s="299"/>
      <c r="P33" s="289"/>
      <c r="Q33" s="286">
        <f>COUNT(U10:U19)</f>
        <v>5</v>
      </c>
      <c r="R33" s="288" t="s">
        <v>160</v>
      </c>
      <c r="S33" s="289"/>
      <c r="T33" s="279"/>
      <c r="U33" s="306"/>
      <c r="V33" s="306"/>
      <c r="W33" s="280"/>
      <c r="X33" s="115"/>
      <c r="AB33" s="115"/>
      <c r="AC33" s="115"/>
      <c r="AD33" s="115"/>
      <c r="AE33" s="304"/>
      <c r="AF33" s="305"/>
      <c r="AG33" s="269"/>
      <c r="AH33" s="115"/>
      <c r="AI33" s="115"/>
      <c r="AJ33" s="115"/>
      <c r="AK33" s="115"/>
      <c r="AL33" s="115"/>
    </row>
    <row r="34" spans="2:38" ht="31.5" customHeight="1"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290"/>
      <c r="O34" s="300"/>
      <c r="P34" s="291"/>
      <c r="Q34" s="287"/>
      <c r="R34" s="290"/>
      <c r="S34" s="291"/>
      <c r="T34" s="279"/>
      <c r="U34" s="306"/>
      <c r="V34" s="306"/>
      <c r="W34" s="280"/>
      <c r="X34" s="115"/>
      <c r="AB34" s="115"/>
      <c r="AC34" s="115"/>
      <c r="AD34" s="115"/>
      <c r="AE34" s="270"/>
      <c r="AF34" s="307"/>
      <c r="AG34" s="271"/>
      <c r="AH34" s="115"/>
      <c r="AI34" s="115"/>
      <c r="AJ34" s="115"/>
      <c r="AK34" s="115"/>
      <c r="AL34" s="115"/>
    </row>
    <row r="35" spans="2:38" ht="31.5" customHeight="1"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298" t="s">
        <v>151</v>
      </c>
      <c r="O35" s="299"/>
      <c r="P35" s="289"/>
      <c r="Q35" s="284">
        <f>COUNT(V10:V19)</f>
        <v>5</v>
      </c>
      <c r="R35" s="295" t="s">
        <v>152</v>
      </c>
      <c r="S35" s="289"/>
      <c r="T35" s="279"/>
      <c r="U35" s="306"/>
      <c r="V35" s="306"/>
      <c r="W35" s="280"/>
      <c r="X35" s="115"/>
      <c r="AB35" s="115"/>
      <c r="AC35" s="115"/>
      <c r="AD35" s="115"/>
      <c r="AE35" s="304"/>
      <c r="AF35" s="305"/>
      <c r="AG35" s="269"/>
      <c r="AH35" s="115"/>
      <c r="AI35" s="115"/>
      <c r="AJ35" s="115"/>
      <c r="AK35" s="115"/>
      <c r="AL35" s="115"/>
    </row>
    <row r="36" spans="2:38" ht="31.5" customHeight="1"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290"/>
      <c r="O36" s="300"/>
      <c r="P36" s="291"/>
      <c r="Q36" s="285"/>
      <c r="R36" s="290"/>
      <c r="S36" s="291"/>
      <c r="T36" s="270"/>
      <c r="U36" s="307"/>
      <c r="V36" s="307"/>
      <c r="W36" s="271"/>
      <c r="X36" s="115"/>
      <c r="AB36" s="115"/>
      <c r="AC36" s="115"/>
      <c r="AD36" s="115"/>
      <c r="AE36" s="270"/>
      <c r="AF36" s="307"/>
      <c r="AG36" s="271"/>
      <c r="AH36" s="115"/>
      <c r="AI36" s="115"/>
      <c r="AJ36" s="115"/>
      <c r="AK36" s="115"/>
      <c r="AL36" s="115"/>
    </row>
    <row r="37" spans="2:38" ht="31.5" customHeight="1">
      <c r="B37" s="115"/>
      <c r="C37" s="115"/>
      <c r="D37" s="115"/>
      <c r="E37" s="115"/>
      <c r="F37" s="115"/>
      <c r="G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</row>
    <row r="38" spans="2:38" ht="31.5" customHeight="1">
      <c r="B38" s="115"/>
      <c r="C38" s="115"/>
      <c r="D38" s="115"/>
      <c r="E38" s="115"/>
      <c r="F38" s="115"/>
      <c r="G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</row>
    <row r="39" spans="2:38" ht="31.5" customHeight="1">
      <c r="B39" s="115"/>
      <c r="C39" s="115"/>
      <c r="D39" s="115"/>
      <c r="E39" s="115"/>
      <c r="F39" s="115"/>
      <c r="G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</row>
    <row r="40" spans="2:38" ht="31.5" customHeight="1">
      <c r="B40" s="115"/>
      <c r="C40" s="115"/>
      <c r="D40" s="115"/>
      <c r="E40" s="115"/>
      <c r="F40" s="115"/>
      <c r="G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</row>
    <row r="41" spans="2:38" ht="31.5" customHeight="1">
      <c r="B41" s="115"/>
      <c r="C41" s="115"/>
      <c r="D41" s="115"/>
      <c r="E41" s="115"/>
      <c r="F41" s="115"/>
      <c r="G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</row>
    <row r="42" spans="2:38" ht="31.5" customHeight="1">
      <c r="B42" s="115"/>
      <c r="C42" s="115"/>
      <c r="D42" s="115"/>
      <c r="E42" s="115"/>
      <c r="F42" s="115"/>
      <c r="G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</row>
    <row r="43" spans="2:38" ht="31.5" customHeight="1">
      <c r="B43" s="115"/>
      <c r="C43" s="115"/>
      <c r="D43" s="115"/>
      <c r="E43" s="115"/>
      <c r="F43" s="115"/>
      <c r="G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</row>
    <row r="44" spans="2:38" ht="31.5" customHeight="1">
      <c r="B44" s="115"/>
      <c r="C44" s="115"/>
      <c r="D44" s="115"/>
      <c r="G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</row>
    <row r="45" spans="2:38" ht="31.5" customHeight="1">
      <c r="B45" s="115"/>
      <c r="C45" s="115"/>
      <c r="D45" s="115"/>
      <c r="G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</row>
    <row r="46" spans="2:38" ht="31.5" customHeight="1">
      <c r="B46" s="115"/>
      <c r="C46" s="115"/>
      <c r="D46" s="115"/>
      <c r="G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</row>
    <row r="47" spans="2:38" ht="31.5" customHeight="1">
      <c r="B47" s="115"/>
      <c r="C47" s="115"/>
      <c r="D47" s="115"/>
      <c r="G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</row>
    <row r="48" spans="2:38" ht="31.5" customHeight="1">
      <c r="B48" s="115"/>
      <c r="C48" s="115"/>
      <c r="D48" s="115"/>
      <c r="G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</row>
    <row r="49" spans="2:38" ht="31.5" customHeight="1">
      <c r="B49" s="115"/>
      <c r="C49" s="115"/>
      <c r="D49" s="115"/>
      <c r="G49" s="115"/>
      <c r="X49" s="115"/>
      <c r="Y49" s="115"/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</row>
    <row r="50" spans="2:38" ht="31.5" customHeight="1">
      <c r="B50" s="115"/>
      <c r="C50" s="115"/>
      <c r="D50" s="115"/>
      <c r="G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</row>
    <row r="51" spans="2:38" ht="31.5" customHeight="1">
      <c r="B51" s="115"/>
      <c r="C51" s="115"/>
      <c r="D51" s="115"/>
      <c r="G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</row>
    <row r="52" spans="2:38" ht="31.5" customHeight="1">
      <c r="B52" s="115"/>
      <c r="C52" s="115"/>
      <c r="D52" s="115"/>
      <c r="G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</row>
    <row r="53" spans="2:38" ht="31.5" customHeight="1">
      <c r="B53" s="115"/>
      <c r="C53" s="115"/>
      <c r="D53" s="115"/>
      <c r="G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15"/>
      <c r="AL53" s="115"/>
    </row>
    <row r="54" spans="2:38" ht="31.5" customHeight="1">
      <c r="B54" s="115"/>
      <c r="C54" s="115"/>
      <c r="D54" s="115"/>
      <c r="E54" s="115"/>
      <c r="F54" s="115"/>
      <c r="G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</row>
    <row r="55" spans="2:38" ht="31.5" customHeight="1">
      <c r="B55" s="115"/>
      <c r="C55" s="115"/>
      <c r="D55" s="115"/>
      <c r="E55" s="115"/>
      <c r="F55" s="115"/>
      <c r="G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</row>
    <row r="56" spans="2:38" ht="31.5" customHeight="1">
      <c r="B56" s="115"/>
      <c r="C56" s="115"/>
      <c r="D56" s="115"/>
      <c r="E56" s="115"/>
      <c r="F56" s="115"/>
      <c r="G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</row>
    <row r="57" spans="2:38" ht="31.5" customHeight="1">
      <c r="B57" s="115"/>
      <c r="C57" s="115"/>
      <c r="D57" s="115"/>
      <c r="E57" s="115"/>
      <c r="F57" s="115"/>
      <c r="G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</row>
    <row r="58" spans="2:38" ht="31.5" customHeight="1"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</row>
    <row r="59" spans="2:38" ht="31.5" customHeight="1"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</row>
    <row r="60" spans="2:38" ht="31.5" customHeight="1"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  <c r="AD60" s="115"/>
      <c r="AE60" s="115"/>
      <c r="AF60" s="115"/>
      <c r="AG60" s="115"/>
      <c r="AH60" s="115"/>
      <c r="AI60" s="115"/>
      <c r="AJ60" s="115"/>
      <c r="AK60" s="115"/>
      <c r="AL60" s="115"/>
    </row>
    <row r="61" spans="2:38" ht="31.5" customHeight="1"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5"/>
      <c r="AE61" s="115"/>
      <c r="AF61" s="115"/>
      <c r="AG61" s="115"/>
      <c r="AH61" s="115"/>
      <c r="AI61" s="115"/>
      <c r="AJ61" s="115"/>
      <c r="AK61" s="115"/>
      <c r="AL61" s="115"/>
    </row>
    <row r="62" spans="2:38" ht="31.5" customHeight="1"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115"/>
    </row>
    <row r="63" spans="2:38" ht="31.5" customHeight="1"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</row>
    <row r="64" spans="2:38" ht="31.5" customHeight="1"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  <c r="AD64" s="115"/>
      <c r="AE64" s="115"/>
      <c r="AF64" s="115"/>
      <c r="AG64" s="115"/>
      <c r="AH64" s="115"/>
      <c r="AI64" s="115"/>
      <c r="AJ64" s="115"/>
      <c r="AK64" s="115"/>
      <c r="AL64" s="115"/>
    </row>
    <row r="65" spans="2:38" ht="31.5" customHeight="1"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  <c r="AD65" s="115"/>
      <c r="AE65" s="115"/>
      <c r="AF65" s="115"/>
      <c r="AG65" s="115"/>
      <c r="AH65" s="115"/>
      <c r="AI65" s="115"/>
      <c r="AJ65" s="115"/>
      <c r="AK65" s="115"/>
      <c r="AL65" s="115"/>
    </row>
    <row r="66" spans="2:38" ht="31.5" customHeight="1"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  <c r="AD66" s="115"/>
      <c r="AE66" s="115"/>
      <c r="AF66" s="115"/>
      <c r="AG66" s="115"/>
      <c r="AH66" s="115"/>
      <c r="AI66" s="115"/>
      <c r="AJ66" s="115"/>
      <c r="AK66" s="115"/>
      <c r="AL66" s="115"/>
    </row>
    <row r="67" spans="2:38" ht="31.5" customHeight="1"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  <c r="AD67" s="115"/>
      <c r="AE67" s="115"/>
      <c r="AF67" s="115"/>
      <c r="AG67" s="115"/>
      <c r="AH67" s="115"/>
      <c r="AI67" s="115"/>
      <c r="AJ67" s="115"/>
      <c r="AK67" s="115"/>
      <c r="AL67" s="115"/>
    </row>
    <row r="68" spans="2:38" ht="31.5" customHeight="1"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</row>
    <row r="69" spans="2:38" ht="31.5" customHeight="1"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  <c r="AD69" s="115"/>
      <c r="AE69" s="115"/>
      <c r="AF69" s="115"/>
      <c r="AG69" s="115"/>
      <c r="AH69" s="115"/>
      <c r="AI69" s="115"/>
      <c r="AJ69" s="115"/>
      <c r="AK69" s="115"/>
      <c r="AL69" s="115"/>
    </row>
    <row r="70" spans="2:38" ht="31.5" customHeight="1"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</row>
    <row r="71" spans="2:38" ht="31.5" customHeight="1"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</row>
    <row r="72" spans="2:38" ht="31.5" customHeight="1"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  <c r="AD72" s="115"/>
      <c r="AE72" s="115"/>
      <c r="AF72" s="115"/>
      <c r="AG72" s="115"/>
      <c r="AH72" s="115"/>
      <c r="AI72" s="115"/>
      <c r="AJ72" s="115"/>
      <c r="AK72" s="115"/>
      <c r="AL72" s="115"/>
    </row>
    <row r="73" spans="2:38" ht="31.5" customHeight="1"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  <c r="AD73" s="115"/>
      <c r="AE73" s="115"/>
      <c r="AF73" s="115"/>
      <c r="AG73" s="115"/>
      <c r="AH73" s="115"/>
      <c r="AI73" s="115"/>
      <c r="AJ73" s="115"/>
      <c r="AK73" s="115"/>
      <c r="AL73" s="115"/>
    </row>
    <row r="74" spans="2:38" ht="31.5" customHeight="1"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  <c r="AD74" s="115"/>
      <c r="AE74" s="115"/>
      <c r="AF74" s="115"/>
      <c r="AG74" s="115"/>
      <c r="AH74" s="115"/>
      <c r="AI74" s="115"/>
      <c r="AJ74" s="115"/>
      <c r="AK74" s="115"/>
      <c r="AL74" s="115"/>
    </row>
    <row r="75" spans="2:38" ht="31.5" customHeight="1"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  <c r="AD75" s="115"/>
      <c r="AE75" s="115"/>
      <c r="AF75" s="115"/>
      <c r="AG75" s="115"/>
      <c r="AH75" s="115"/>
      <c r="AI75" s="115"/>
      <c r="AJ75" s="115"/>
      <c r="AK75" s="115"/>
      <c r="AL75" s="115"/>
    </row>
    <row r="76" spans="2:38" ht="31.5" customHeight="1"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  <c r="AD76" s="115"/>
      <c r="AE76" s="115"/>
      <c r="AF76" s="115"/>
      <c r="AG76" s="115"/>
      <c r="AH76" s="115"/>
      <c r="AI76" s="115"/>
      <c r="AJ76" s="115"/>
      <c r="AK76" s="115"/>
      <c r="AL76" s="115"/>
    </row>
    <row r="77" spans="2:38" ht="31.5" customHeight="1"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  <c r="AD77" s="115"/>
      <c r="AE77" s="115"/>
      <c r="AF77" s="115"/>
      <c r="AG77" s="115"/>
      <c r="AH77" s="115"/>
      <c r="AI77" s="115"/>
      <c r="AJ77" s="115"/>
      <c r="AK77" s="115"/>
      <c r="AL77" s="115"/>
    </row>
    <row r="78" spans="2:38" ht="31.5" customHeight="1"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</row>
    <row r="79" spans="2:38" ht="31.5" customHeight="1"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  <c r="AD79" s="115"/>
      <c r="AE79" s="115"/>
      <c r="AF79" s="115"/>
      <c r="AG79" s="115"/>
      <c r="AH79" s="115"/>
      <c r="AI79" s="115"/>
      <c r="AJ79" s="115"/>
      <c r="AK79" s="115"/>
      <c r="AL79" s="115"/>
    </row>
    <row r="80" spans="2:38" ht="31.5" customHeight="1"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  <c r="AG80" s="115"/>
      <c r="AH80" s="115"/>
      <c r="AI80" s="115"/>
      <c r="AJ80" s="115"/>
      <c r="AK80" s="115"/>
      <c r="AL80" s="115"/>
    </row>
    <row r="81" spans="2:38" ht="31.5" customHeight="1"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</row>
    <row r="82" spans="2:38" ht="31.5" customHeight="1"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</row>
    <row r="83" spans="2:38" ht="31.5" customHeight="1"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  <c r="AG83" s="115"/>
      <c r="AH83" s="115"/>
      <c r="AI83" s="115"/>
      <c r="AJ83" s="115"/>
      <c r="AK83" s="115"/>
      <c r="AL83" s="115"/>
    </row>
    <row r="84" spans="2:38" ht="31.5" customHeight="1"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15"/>
      <c r="AI84" s="115"/>
      <c r="AJ84" s="115"/>
      <c r="AK84" s="115"/>
      <c r="AL84" s="115"/>
    </row>
    <row r="85" spans="2:38" ht="31.5" customHeight="1"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  <c r="AG85" s="115"/>
      <c r="AH85" s="115"/>
      <c r="AI85" s="115"/>
      <c r="AJ85" s="115"/>
      <c r="AK85" s="115"/>
      <c r="AL85" s="115"/>
    </row>
    <row r="86" spans="2:38" ht="31.5" customHeight="1"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  <c r="AG86" s="115"/>
      <c r="AH86" s="115"/>
      <c r="AI86" s="115"/>
      <c r="AJ86" s="115"/>
      <c r="AK86" s="115"/>
      <c r="AL86" s="115"/>
    </row>
    <row r="87" spans="2:38" ht="31.5" customHeight="1"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  <c r="AG87" s="115"/>
      <c r="AH87" s="115"/>
      <c r="AI87" s="115"/>
      <c r="AJ87" s="115"/>
      <c r="AK87" s="115"/>
      <c r="AL87" s="115"/>
    </row>
    <row r="88" spans="2:38" ht="31.5" customHeight="1"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</row>
    <row r="89" spans="2:38" ht="31.5" customHeight="1"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  <c r="AG89" s="115"/>
      <c r="AH89" s="115"/>
      <c r="AI89" s="115"/>
      <c r="AJ89" s="115"/>
      <c r="AK89" s="115"/>
      <c r="AL89" s="115"/>
    </row>
    <row r="90" spans="2:38" ht="31.5" customHeight="1"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  <c r="AG90" s="115"/>
      <c r="AH90" s="115"/>
      <c r="AI90" s="115"/>
      <c r="AJ90" s="115"/>
      <c r="AK90" s="115"/>
      <c r="AL90" s="115"/>
    </row>
    <row r="91" spans="2:38" ht="31.5" customHeight="1"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</row>
    <row r="92" spans="2:38" ht="31.5" customHeight="1"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</row>
    <row r="93" spans="2:38" ht="31.5" customHeight="1"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  <c r="AG93" s="115"/>
      <c r="AH93" s="115"/>
      <c r="AI93" s="115"/>
      <c r="AJ93" s="115"/>
      <c r="AK93" s="115"/>
      <c r="AL93" s="115"/>
    </row>
    <row r="94" spans="2:38" ht="31.5" customHeight="1"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  <c r="AG94" s="115"/>
      <c r="AH94" s="115"/>
      <c r="AI94" s="115"/>
      <c r="AJ94" s="115"/>
      <c r="AK94" s="115"/>
      <c r="AL94" s="115"/>
    </row>
    <row r="95" spans="2:38" ht="31.5" customHeight="1"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  <c r="AG95" s="115"/>
      <c r="AH95" s="115"/>
      <c r="AI95" s="115"/>
      <c r="AJ95" s="115"/>
      <c r="AK95" s="115"/>
      <c r="AL95" s="115"/>
    </row>
    <row r="96" spans="2:38" ht="31.5" customHeight="1"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/>
      <c r="AF96" s="115"/>
      <c r="AG96" s="115"/>
      <c r="AH96" s="115"/>
      <c r="AI96" s="115"/>
      <c r="AJ96" s="115"/>
      <c r="AK96" s="115"/>
      <c r="AL96" s="115"/>
    </row>
    <row r="97" spans="2:38" ht="31.5" customHeight="1"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  <c r="AD97" s="115"/>
      <c r="AE97" s="115"/>
      <c r="AF97" s="115"/>
      <c r="AG97" s="115"/>
      <c r="AH97" s="115"/>
      <c r="AI97" s="115"/>
      <c r="AJ97" s="115"/>
      <c r="AK97" s="115"/>
      <c r="AL97" s="115"/>
    </row>
    <row r="98" spans="2:38" ht="31.5" customHeight="1"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  <c r="AD98" s="115"/>
      <c r="AE98" s="115"/>
      <c r="AF98" s="115"/>
      <c r="AG98" s="115"/>
      <c r="AH98" s="115"/>
      <c r="AI98" s="115"/>
      <c r="AJ98" s="115"/>
      <c r="AK98" s="115"/>
      <c r="AL98" s="115"/>
    </row>
    <row r="99" spans="2:38" ht="31.5" customHeight="1"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  <c r="AD99" s="115"/>
      <c r="AE99" s="115"/>
      <c r="AF99" s="115"/>
      <c r="AG99" s="115"/>
      <c r="AH99" s="115"/>
      <c r="AI99" s="115"/>
      <c r="AJ99" s="115"/>
      <c r="AK99" s="115"/>
      <c r="AL99" s="115"/>
    </row>
    <row r="100" spans="2:38" ht="31.5" customHeight="1"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  <c r="AD100" s="115"/>
      <c r="AE100" s="115"/>
      <c r="AF100" s="115"/>
      <c r="AG100" s="115"/>
      <c r="AH100" s="115"/>
      <c r="AI100" s="115"/>
      <c r="AJ100" s="115"/>
      <c r="AK100" s="115"/>
      <c r="AL100" s="115"/>
    </row>
    <row r="101" spans="2:38" ht="31.5" customHeight="1"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  <c r="AD101" s="115"/>
      <c r="AE101" s="115"/>
      <c r="AF101" s="115"/>
      <c r="AG101" s="115"/>
      <c r="AH101" s="115"/>
      <c r="AI101" s="115"/>
      <c r="AJ101" s="115"/>
      <c r="AK101" s="115"/>
      <c r="AL101" s="115"/>
    </row>
    <row r="102" spans="2:38" ht="31.5" customHeight="1"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/>
      <c r="AF102" s="115"/>
      <c r="AG102" s="115"/>
      <c r="AH102" s="115"/>
      <c r="AI102" s="115"/>
      <c r="AJ102" s="115"/>
      <c r="AK102" s="115"/>
      <c r="AL102" s="115"/>
    </row>
    <row r="103" spans="2:38" ht="31.5" customHeight="1"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/>
      <c r="AF103" s="115"/>
      <c r="AG103" s="115"/>
      <c r="AH103" s="115"/>
      <c r="AI103" s="115"/>
      <c r="AJ103" s="115"/>
      <c r="AK103" s="115"/>
      <c r="AL103" s="115"/>
    </row>
    <row r="104" spans="2:38" ht="31.5" customHeight="1"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/>
      <c r="AF104" s="115"/>
      <c r="AG104" s="115"/>
      <c r="AH104" s="115"/>
      <c r="AI104" s="115"/>
      <c r="AJ104" s="115"/>
      <c r="AK104" s="115"/>
      <c r="AL104" s="115"/>
    </row>
    <row r="105" spans="2:38" ht="31.5" customHeight="1"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  <c r="AD105" s="115"/>
      <c r="AE105" s="115"/>
      <c r="AF105" s="115"/>
      <c r="AG105" s="115"/>
      <c r="AH105" s="115"/>
      <c r="AI105" s="115"/>
      <c r="AJ105" s="115"/>
      <c r="AK105" s="115"/>
      <c r="AL105" s="115"/>
    </row>
    <row r="106" spans="2:38" ht="31.5" customHeight="1"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  <c r="AD106" s="115"/>
      <c r="AE106" s="115"/>
      <c r="AF106" s="115"/>
      <c r="AG106" s="115"/>
      <c r="AH106" s="115"/>
      <c r="AI106" s="115"/>
      <c r="AJ106" s="115"/>
      <c r="AK106" s="115"/>
      <c r="AL106" s="115"/>
    </row>
    <row r="107" spans="2:38" ht="31.5" customHeight="1"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  <c r="AD107" s="115"/>
      <c r="AE107" s="115"/>
      <c r="AF107" s="115"/>
      <c r="AG107" s="115"/>
      <c r="AH107" s="115"/>
      <c r="AI107" s="115"/>
      <c r="AJ107" s="115"/>
      <c r="AK107" s="115"/>
      <c r="AL107" s="115"/>
    </row>
    <row r="108" spans="2:38" ht="31.5" customHeight="1"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</row>
    <row r="109" spans="2:38" ht="31.5" customHeight="1"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15"/>
      <c r="AH109" s="115"/>
      <c r="AI109" s="115"/>
      <c r="AJ109" s="115"/>
      <c r="AK109" s="115"/>
      <c r="AL109" s="115"/>
    </row>
    <row r="110" spans="2:38" ht="31.5" customHeight="1"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15"/>
      <c r="AH110" s="115"/>
      <c r="AI110" s="115"/>
      <c r="AJ110" s="115"/>
      <c r="AK110" s="115"/>
      <c r="AL110" s="115"/>
    </row>
    <row r="111" spans="2:38" ht="31.5" customHeight="1"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  <c r="AL111" s="115"/>
    </row>
    <row r="112" spans="2:38" ht="31.5" customHeight="1"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  <c r="AD112" s="115"/>
      <c r="AE112" s="115"/>
      <c r="AF112" s="115"/>
      <c r="AG112" s="115"/>
      <c r="AH112" s="115"/>
      <c r="AI112" s="115"/>
      <c r="AJ112" s="115"/>
      <c r="AK112" s="115"/>
      <c r="AL112" s="115"/>
    </row>
    <row r="113" spans="2:38" ht="31.5" customHeight="1"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/>
      <c r="AF113" s="115"/>
      <c r="AG113" s="115"/>
      <c r="AH113" s="115"/>
      <c r="AI113" s="115"/>
      <c r="AJ113" s="115"/>
      <c r="AK113" s="115"/>
      <c r="AL113" s="115"/>
    </row>
    <row r="114" spans="2:38" ht="31.5" customHeight="1"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/>
      <c r="AF114" s="115"/>
      <c r="AG114" s="115"/>
      <c r="AH114" s="115"/>
      <c r="AI114" s="115"/>
      <c r="AJ114" s="115"/>
      <c r="AK114" s="115"/>
      <c r="AL114" s="115"/>
    </row>
    <row r="115" spans="2:38" ht="31.5" customHeight="1"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  <c r="AD115" s="115"/>
      <c r="AE115" s="115"/>
      <c r="AF115" s="115"/>
      <c r="AG115" s="115"/>
      <c r="AH115" s="115"/>
      <c r="AI115" s="115"/>
      <c r="AJ115" s="115"/>
      <c r="AK115" s="115"/>
      <c r="AL115" s="115"/>
    </row>
    <row r="116" spans="2:38" ht="31.5" customHeight="1"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  <c r="AL116" s="115"/>
    </row>
    <row r="117" spans="2:38" ht="31.5" customHeight="1"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/>
      <c r="AF117" s="115"/>
      <c r="AG117" s="115"/>
      <c r="AH117" s="115"/>
      <c r="AI117" s="115"/>
      <c r="AJ117" s="115"/>
      <c r="AK117" s="115"/>
      <c r="AL117" s="115"/>
    </row>
    <row r="118" spans="2:38" ht="31.5" customHeight="1"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</row>
    <row r="119" spans="2:38" ht="31.5" customHeight="1"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  <c r="AD119" s="115"/>
      <c r="AE119" s="115"/>
      <c r="AF119" s="115"/>
      <c r="AG119" s="115"/>
      <c r="AH119" s="115"/>
      <c r="AI119" s="115"/>
      <c r="AJ119" s="115"/>
      <c r="AK119" s="115"/>
      <c r="AL119" s="115"/>
    </row>
    <row r="120" spans="2:38" ht="15.75" customHeight="1"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  <c r="AD120" s="115"/>
      <c r="AE120" s="115"/>
      <c r="AF120" s="115"/>
      <c r="AG120" s="115"/>
      <c r="AH120" s="115"/>
      <c r="AI120" s="115"/>
      <c r="AJ120" s="115"/>
      <c r="AK120" s="115"/>
      <c r="AL120" s="115"/>
    </row>
    <row r="121" spans="2:38" ht="15.75" customHeight="1"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</row>
    <row r="122" spans="2:38" ht="15.75" customHeight="1"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  <c r="AD122" s="115"/>
      <c r="AE122" s="115"/>
      <c r="AF122" s="115"/>
      <c r="AG122" s="115"/>
      <c r="AH122" s="115"/>
      <c r="AI122" s="115"/>
      <c r="AJ122" s="115"/>
      <c r="AK122" s="115"/>
      <c r="AL122" s="115"/>
    </row>
    <row r="123" spans="2:38" ht="15.75" customHeight="1"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  <c r="AD123" s="115"/>
      <c r="AE123" s="115"/>
      <c r="AF123" s="115"/>
      <c r="AG123" s="115"/>
      <c r="AH123" s="115"/>
      <c r="AI123" s="115"/>
      <c r="AJ123" s="115"/>
      <c r="AK123" s="115"/>
      <c r="AL123" s="115"/>
    </row>
    <row r="124" spans="2:38" ht="15.75" customHeight="1"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/>
      <c r="AF124" s="115"/>
      <c r="AG124" s="115"/>
      <c r="AH124" s="115"/>
      <c r="AI124" s="115"/>
      <c r="AJ124" s="115"/>
      <c r="AK124" s="115"/>
      <c r="AL124" s="115"/>
    </row>
    <row r="125" spans="2:38" ht="15.75" customHeight="1"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  <c r="AD125" s="115"/>
      <c r="AE125" s="115"/>
      <c r="AF125" s="115"/>
      <c r="AG125" s="115"/>
      <c r="AH125" s="115"/>
      <c r="AI125" s="115"/>
      <c r="AJ125" s="115"/>
      <c r="AK125" s="115"/>
      <c r="AL125" s="115"/>
    </row>
    <row r="126" spans="2:38" ht="15.75" customHeight="1"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  <c r="AD126" s="115"/>
      <c r="AE126" s="115"/>
      <c r="AF126" s="115"/>
      <c r="AG126" s="115"/>
      <c r="AH126" s="115"/>
      <c r="AI126" s="115"/>
      <c r="AJ126" s="115"/>
      <c r="AK126" s="115"/>
      <c r="AL126" s="115"/>
    </row>
    <row r="127" spans="2:38" ht="15.75" customHeight="1"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15"/>
      <c r="AL127" s="115"/>
    </row>
    <row r="128" spans="2:38" ht="15.75" customHeight="1"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  <c r="AL128" s="115"/>
    </row>
    <row r="129" spans="2:38" ht="15.75" customHeight="1"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  <c r="AD129" s="115"/>
      <c r="AE129" s="115"/>
      <c r="AF129" s="115"/>
      <c r="AG129" s="115"/>
      <c r="AH129" s="115"/>
      <c r="AI129" s="115"/>
      <c r="AJ129" s="115"/>
      <c r="AK129" s="115"/>
      <c r="AL129" s="115"/>
    </row>
    <row r="130" spans="2:38" ht="15.75" customHeight="1"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  <c r="AD130" s="115"/>
      <c r="AE130" s="115"/>
      <c r="AF130" s="115"/>
      <c r="AG130" s="115"/>
      <c r="AH130" s="115"/>
      <c r="AI130" s="115"/>
      <c r="AJ130" s="115"/>
      <c r="AK130" s="115"/>
      <c r="AL130" s="115"/>
    </row>
    <row r="131" spans="2:38" ht="15.75" customHeight="1"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  <c r="AD131" s="115"/>
      <c r="AE131" s="115"/>
      <c r="AF131" s="115"/>
      <c r="AG131" s="115"/>
      <c r="AH131" s="115"/>
      <c r="AI131" s="115"/>
      <c r="AJ131" s="115"/>
      <c r="AK131" s="115"/>
      <c r="AL131" s="115"/>
    </row>
    <row r="132" spans="2:38" ht="15.75" customHeight="1"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  <c r="AD132" s="115"/>
      <c r="AE132" s="115"/>
      <c r="AF132" s="115"/>
      <c r="AG132" s="115"/>
      <c r="AH132" s="115"/>
      <c r="AI132" s="115"/>
      <c r="AJ132" s="115"/>
      <c r="AK132" s="115"/>
      <c r="AL132" s="115"/>
    </row>
    <row r="133" spans="2:38" ht="15.75" customHeight="1"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115"/>
    </row>
    <row r="134" spans="2:38" ht="15.75" customHeight="1"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  <c r="AD134" s="115"/>
      <c r="AE134" s="115"/>
      <c r="AF134" s="115"/>
      <c r="AG134" s="115"/>
      <c r="AH134" s="115"/>
      <c r="AI134" s="115"/>
      <c r="AJ134" s="115"/>
      <c r="AK134" s="115"/>
      <c r="AL134" s="115"/>
    </row>
    <row r="135" spans="2:38" ht="15.75" customHeight="1"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  <c r="AD135" s="115"/>
      <c r="AE135" s="115"/>
      <c r="AF135" s="115"/>
      <c r="AG135" s="115"/>
      <c r="AH135" s="115"/>
      <c r="AI135" s="115"/>
      <c r="AJ135" s="115"/>
      <c r="AK135" s="115"/>
      <c r="AL135" s="115"/>
    </row>
    <row r="136" spans="2:38" ht="15.75" customHeight="1"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115"/>
    </row>
    <row r="137" spans="2:38" ht="15.75" customHeight="1"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15"/>
      <c r="AH137" s="115"/>
      <c r="AI137" s="115"/>
      <c r="AJ137" s="115"/>
      <c r="AK137" s="115"/>
      <c r="AL137" s="115"/>
    </row>
    <row r="138" spans="2:38" ht="15.75" customHeight="1"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  <c r="AD138" s="115"/>
      <c r="AE138" s="115"/>
      <c r="AF138" s="115"/>
      <c r="AG138" s="115"/>
      <c r="AH138" s="115"/>
      <c r="AI138" s="115"/>
      <c r="AJ138" s="115"/>
      <c r="AK138" s="115"/>
      <c r="AL138" s="115"/>
    </row>
    <row r="139" spans="2:38" ht="15.75" customHeight="1"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  <c r="AD139" s="115"/>
      <c r="AE139" s="115"/>
      <c r="AF139" s="115"/>
      <c r="AG139" s="115"/>
      <c r="AH139" s="115"/>
      <c r="AI139" s="115"/>
      <c r="AJ139" s="115"/>
      <c r="AK139" s="115"/>
      <c r="AL139" s="115"/>
    </row>
    <row r="140" spans="2:38" ht="15.75" customHeight="1"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  <c r="AD140" s="115"/>
      <c r="AE140" s="115"/>
      <c r="AF140" s="115"/>
      <c r="AG140" s="115"/>
      <c r="AH140" s="115"/>
      <c r="AI140" s="115"/>
      <c r="AJ140" s="115"/>
      <c r="AK140" s="115"/>
      <c r="AL140" s="115"/>
    </row>
    <row r="141" spans="2:38" ht="15.75" customHeight="1"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/>
      <c r="AF141" s="115"/>
      <c r="AG141" s="115"/>
      <c r="AH141" s="115"/>
      <c r="AI141" s="115"/>
      <c r="AJ141" s="115"/>
      <c r="AK141" s="115"/>
      <c r="AL141" s="115"/>
    </row>
    <row r="142" spans="2:38" ht="15.75" customHeight="1"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  <c r="AD142" s="115"/>
      <c r="AE142" s="115"/>
      <c r="AF142" s="115"/>
      <c r="AG142" s="115"/>
      <c r="AH142" s="115"/>
      <c r="AI142" s="115"/>
      <c r="AJ142" s="115"/>
      <c r="AK142" s="115"/>
      <c r="AL142" s="115"/>
    </row>
    <row r="143" spans="2:38" ht="15.75" customHeight="1"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  <c r="AD143" s="115"/>
      <c r="AE143" s="115"/>
      <c r="AF143" s="115"/>
      <c r="AG143" s="115"/>
      <c r="AH143" s="115"/>
      <c r="AI143" s="115"/>
      <c r="AJ143" s="115"/>
      <c r="AK143" s="115"/>
      <c r="AL143" s="115"/>
    </row>
    <row r="144" spans="2:38" ht="15.75" customHeight="1"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  <c r="AD144" s="115"/>
      <c r="AE144" s="115"/>
      <c r="AF144" s="115"/>
      <c r="AG144" s="115"/>
      <c r="AH144" s="115"/>
      <c r="AI144" s="115"/>
      <c r="AJ144" s="115"/>
      <c r="AK144" s="115"/>
      <c r="AL144" s="115"/>
    </row>
    <row r="145" spans="2:38" ht="15.75" customHeight="1"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  <c r="AD145" s="115"/>
      <c r="AE145" s="115"/>
      <c r="AF145" s="115"/>
      <c r="AG145" s="115"/>
      <c r="AH145" s="115"/>
      <c r="AI145" s="115"/>
      <c r="AJ145" s="115"/>
      <c r="AK145" s="115"/>
      <c r="AL145" s="115"/>
    </row>
    <row r="146" spans="2:38" ht="15.75" customHeight="1"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/>
      <c r="AF146" s="115"/>
      <c r="AG146" s="115"/>
      <c r="AH146" s="115"/>
      <c r="AI146" s="115"/>
      <c r="AJ146" s="115"/>
      <c r="AK146" s="115"/>
      <c r="AL146" s="115"/>
    </row>
    <row r="147" spans="2:38" ht="15.75" customHeight="1"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  <c r="AD147" s="115"/>
      <c r="AE147" s="115"/>
      <c r="AF147" s="115"/>
      <c r="AG147" s="115"/>
      <c r="AH147" s="115"/>
      <c r="AI147" s="115"/>
      <c r="AJ147" s="115"/>
      <c r="AK147" s="115"/>
      <c r="AL147" s="115"/>
    </row>
    <row r="148" spans="2:38" ht="15.75" customHeight="1"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  <c r="AD148" s="115"/>
      <c r="AE148" s="115"/>
      <c r="AF148" s="115"/>
      <c r="AG148" s="115"/>
      <c r="AH148" s="115"/>
      <c r="AI148" s="115"/>
      <c r="AJ148" s="115"/>
      <c r="AK148" s="115"/>
      <c r="AL148" s="115"/>
    </row>
    <row r="149" spans="2:38" ht="15.75" customHeight="1"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/>
      <c r="AF149" s="115"/>
      <c r="AG149" s="115"/>
      <c r="AH149" s="115"/>
      <c r="AI149" s="115"/>
      <c r="AJ149" s="115"/>
      <c r="AK149" s="115"/>
      <c r="AL149" s="115"/>
    </row>
    <row r="150" spans="2:38" ht="15.75" customHeight="1"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/>
      <c r="AF150" s="115"/>
      <c r="AG150" s="115"/>
      <c r="AH150" s="115"/>
      <c r="AI150" s="115"/>
      <c r="AJ150" s="115"/>
      <c r="AK150" s="115"/>
      <c r="AL150" s="115"/>
    </row>
    <row r="151" spans="2:38" ht="15.75" customHeight="1"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  <c r="AD151" s="115"/>
      <c r="AE151" s="115"/>
      <c r="AF151" s="115"/>
      <c r="AG151" s="115"/>
      <c r="AH151" s="115"/>
      <c r="AI151" s="115"/>
      <c r="AJ151" s="115"/>
      <c r="AK151" s="115"/>
      <c r="AL151" s="115"/>
    </row>
    <row r="152" spans="2:38" ht="15.75" customHeight="1"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  <c r="AD152" s="115"/>
      <c r="AE152" s="115"/>
      <c r="AF152" s="115"/>
      <c r="AG152" s="115"/>
      <c r="AH152" s="115"/>
      <c r="AI152" s="115"/>
      <c r="AJ152" s="115"/>
      <c r="AK152" s="115"/>
      <c r="AL152" s="115"/>
    </row>
    <row r="153" spans="2:38" ht="15.75" customHeight="1"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/>
      <c r="AF153" s="115"/>
      <c r="AG153" s="115"/>
      <c r="AH153" s="115"/>
      <c r="AI153" s="115"/>
      <c r="AJ153" s="115"/>
      <c r="AK153" s="115"/>
      <c r="AL153" s="115"/>
    </row>
    <row r="154" spans="2:38" ht="15.75" customHeight="1"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15"/>
      <c r="AH154" s="115"/>
      <c r="AI154" s="115"/>
      <c r="AJ154" s="115"/>
      <c r="AK154" s="115"/>
      <c r="AL154" s="115"/>
    </row>
    <row r="155" spans="2:38" ht="15.75" customHeight="1"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15"/>
      <c r="AH155" s="115"/>
      <c r="AI155" s="115"/>
      <c r="AJ155" s="115"/>
      <c r="AK155" s="115"/>
      <c r="AL155" s="115"/>
    </row>
    <row r="156" spans="2:38" ht="15.75" customHeight="1"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/>
      <c r="AF156" s="115"/>
      <c r="AG156" s="115"/>
      <c r="AH156" s="115"/>
      <c r="AI156" s="115"/>
      <c r="AJ156" s="115"/>
      <c r="AK156" s="115"/>
      <c r="AL156" s="115"/>
    </row>
    <row r="157" spans="2:38" ht="15.75" customHeight="1"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/>
      <c r="AF157" s="115"/>
      <c r="AG157" s="115"/>
      <c r="AH157" s="115"/>
      <c r="AI157" s="115"/>
      <c r="AJ157" s="115"/>
      <c r="AK157" s="115"/>
      <c r="AL157" s="115"/>
    </row>
    <row r="158" spans="2:38" ht="15.75" customHeight="1"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  <c r="AD158" s="115"/>
      <c r="AE158" s="115"/>
      <c r="AF158" s="115"/>
      <c r="AG158" s="115"/>
      <c r="AH158" s="115"/>
      <c r="AI158" s="115"/>
      <c r="AJ158" s="115"/>
      <c r="AK158" s="115"/>
      <c r="AL158" s="115"/>
    </row>
    <row r="159" spans="2:38" ht="15.75" customHeight="1"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</row>
    <row r="160" spans="2:38" ht="15.75" customHeight="1"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</row>
    <row r="161" spans="2:38" ht="15.75" customHeight="1"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</row>
    <row r="162" spans="2:38" ht="15.75" customHeight="1"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</row>
    <row r="163" spans="2:38" ht="15.75" customHeight="1"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</row>
    <row r="164" spans="2:38" ht="15.75" customHeight="1"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</row>
    <row r="165" spans="2:38" ht="15.75" customHeight="1"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</row>
    <row r="166" spans="2:38" ht="15.75" customHeight="1"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</row>
    <row r="167" spans="2:38" ht="15.75" customHeight="1"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</row>
    <row r="168" spans="2:38" ht="15.75" customHeight="1"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</row>
    <row r="169" spans="2:38" ht="15.75" customHeight="1"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</row>
    <row r="170" spans="2:38" ht="15.75" customHeight="1"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</row>
    <row r="171" spans="2:38" ht="15.75" customHeight="1"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</row>
    <row r="172" spans="2:38" ht="15.75" customHeight="1"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</row>
    <row r="173" spans="2:38" ht="15.75" customHeight="1"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</row>
    <row r="174" spans="2:38" ht="15.75" customHeight="1"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</row>
    <row r="175" spans="2:38" ht="15.75" customHeight="1"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</row>
    <row r="176" spans="2:38" ht="15.75" customHeight="1"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</row>
    <row r="177" spans="2:38" ht="15.75" customHeight="1"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</row>
    <row r="178" spans="2:38" ht="15.75" customHeight="1"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</row>
    <row r="179" spans="2:38" ht="15.75" customHeight="1"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</row>
    <row r="180" spans="2:38" ht="15.75" customHeight="1"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</row>
    <row r="181" spans="2:38" ht="15.75" customHeight="1"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  <c r="AD181" s="115"/>
      <c r="AE181" s="115"/>
      <c r="AF181" s="115"/>
      <c r="AG181" s="115"/>
      <c r="AH181" s="115"/>
      <c r="AI181" s="115"/>
      <c r="AJ181" s="115"/>
      <c r="AK181" s="115"/>
      <c r="AL181" s="115"/>
    </row>
    <row r="182" spans="2:38" ht="15.75" customHeight="1"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/>
    </row>
    <row r="183" spans="2:38" ht="15.75" customHeight="1"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/>
    </row>
    <row r="184" spans="2:38" ht="15.75" customHeight="1"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/>
    </row>
    <row r="185" spans="2:38" ht="15.75" customHeight="1"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/>
    </row>
    <row r="186" spans="2:38" ht="15.75" customHeight="1"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  <c r="AD186" s="115"/>
      <c r="AE186" s="115"/>
      <c r="AF186" s="115"/>
      <c r="AG186" s="115"/>
      <c r="AH186" s="115"/>
      <c r="AI186" s="115"/>
      <c r="AJ186" s="115"/>
      <c r="AK186" s="115"/>
      <c r="AL186" s="115"/>
    </row>
    <row r="187" spans="2:38" ht="15.75" customHeight="1"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</row>
    <row r="188" spans="2:38" ht="15.75" customHeight="1"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</row>
    <row r="189" spans="2:38" ht="15.75" customHeight="1"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</row>
    <row r="190" spans="2:38" ht="15.75" customHeight="1"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</row>
    <row r="191" spans="2:38" ht="15.75" customHeight="1"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</row>
    <row r="192" spans="2:38" ht="15.75" customHeight="1"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</row>
    <row r="193" spans="2:38" ht="15.75" customHeight="1"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15"/>
      <c r="AH193" s="115"/>
      <c r="AI193" s="115"/>
      <c r="AJ193" s="115"/>
      <c r="AK193" s="115"/>
      <c r="AL193" s="115"/>
    </row>
    <row r="194" spans="2:38" ht="15.75" customHeight="1"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  <c r="AD194" s="115"/>
      <c r="AE194" s="115"/>
      <c r="AF194" s="115"/>
      <c r="AG194" s="115"/>
      <c r="AH194" s="115"/>
      <c r="AI194" s="115"/>
      <c r="AJ194" s="115"/>
      <c r="AK194" s="115"/>
      <c r="AL194" s="115"/>
    </row>
    <row r="195" spans="2:38" ht="15.75" customHeight="1"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/>
    </row>
    <row r="196" spans="2:38" ht="15.75" customHeight="1"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/>
    </row>
    <row r="197" spans="2:38" ht="15.75" customHeight="1"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/>
    </row>
    <row r="198" spans="2:38" ht="15.75" customHeight="1"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15"/>
      <c r="AH198" s="115"/>
      <c r="AI198" s="115"/>
      <c r="AJ198" s="115"/>
      <c r="AK198" s="115"/>
      <c r="AL198" s="115"/>
    </row>
    <row r="199" spans="2:38" ht="15.75" customHeight="1"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  <c r="AD199" s="115"/>
      <c r="AE199" s="115"/>
      <c r="AF199" s="115"/>
      <c r="AG199" s="115"/>
      <c r="AH199" s="115"/>
      <c r="AI199" s="115"/>
      <c r="AJ199" s="115"/>
      <c r="AK199" s="115"/>
      <c r="AL199" s="115"/>
    </row>
    <row r="200" spans="2:38" ht="15.75" customHeight="1"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/>
    </row>
    <row r="201" spans="2:38" ht="15.75" customHeight="1"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  <c r="AL201" s="115"/>
    </row>
    <row r="202" spans="2:38" ht="15.75" customHeight="1"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  <c r="AD202" s="115"/>
      <c r="AE202" s="115"/>
      <c r="AF202" s="115"/>
      <c r="AG202" s="115"/>
      <c r="AH202" s="115"/>
      <c r="AI202" s="115"/>
      <c r="AJ202" s="115"/>
      <c r="AK202" s="115"/>
      <c r="AL202" s="115"/>
    </row>
    <row r="203" spans="2:38" ht="15.75" customHeight="1"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/>
      <c r="AF203" s="115"/>
      <c r="AG203" s="115"/>
      <c r="AH203" s="115"/>
      <c r="AI203" s="115"/>
      <c r="AJ203" s="115"/>
      <c r="AK203" s="115"/>
      <c r="AL203" s="115"/>
    </row>
    <row r="204" spans="2:38" ht="15.75" customHeight="1"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  <c r="AD204" s="115"/>
      <c r="AE204" s="115"/>
      <c r="AF204" s="115"/>
      <c r="AG204" s="115"/>
      <c r="AH204" s="115"/>
      <c r="AI204" s="115"/>
      <c r="AJ204" s="115"/>
      <c r="AK204" s="115"/>
      <c r="AL204" s="115"/>
    </row>
    <row r="205" spans="2:38" ht="15.75" customHeight="1"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  <c r="AD205" s="115"/>
      <c r="AE205" s="115"/>
      <c r="AF205" s="115"/>
      <c r="AG205" s="115"/>
      <c r="AH205" s="115"/>
      <c r="AI205" s="115"/>
      <c r="AJ205" s="115"/>
      <c r="AK205" s="115"/>
      <c r="AL205" s="115"/>
    </row>
    <row r="206" spans="2:38" ht="15.75" customHeight="1"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  <c r="AD206" s="115"/>
      <c r="AE206" s="115"/>
      <c r="AF206" s="115"/>
      <c r="AG206" s="115"/>
      <c r="AH206" s="115"/>
      <c r="AI206" s="115"/>
      <c r="AJ206" s="115"/>
      <c r="AK206" s="115"/>
      <c r="AL206" s="115"/>
    </row>
    <row r="207" spans="2:38" ht="15.75" customHeight="1"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  <c r="AD207" s="115"/>
      <c r="AE207" s="115"/>
      <c r="AF207" s="115"/>
      <c r="AG207" s="115"/>
      <c r="AH207" s="115"/>
      <c r="AI207" s="115"/>
      <c r="AJ207" s="115"/>
      <c r="AK207" s="115"/>
      <c r="AL207" s="115"/>
    </row>
    <row r="208" spans="2:38" ht="15.75" customHeight="1"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15"/>
      <c r="AH208" s="115"/>
      <c r="AI208" s="115"/>
      <c r="AJ208" s="115"/>
      <c r="AK208" s="115"/>
      <c r="AL208" s="115"/>
    </row>
    <row r="209" spans="2:38" ht="15.75" customHeight="1"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15"/>
      <c r="AH209" s="115"/>
      <c r="AI209" s="115"/>
      <c r="AJ209" s="115"/>
      <c r="AK209" s="115"/>
      <c r="AL209" s="115"/>
    </row>
    <row r="210" spans="2:38" ht="15.75" customHeight="1"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/>
      <c r="AF210" s="115"/>
      <c r="AG210" s="115"/>
      <c r="AH210" s="115"/>
      <c r="AI210" s="115"/>
      <c r="AJ210" s="115"/>
      <c r="AK210" s="115"/>
      <c r="AL210" s="115"/>
    </row>
    <row r="211" spans="2:38" ht="15.75" customHeight="1"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/>
      <c r="AF211" s="115"/>
      <c r="AG211" s="115"/>
      <c r="AH211" s="115"/>
      <c r="AI211" s="115"/>
      <c r="AJ211" s="115"/>
      <c r="AK211" s="115"/>
      <c r="AL211" s="115"/>
    </row>
    <row r="212" spans="2:38" ht="15.75" customHeight="1"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/>
      <c r="AF212" s="115"/>
      <c r="AG212" s="115"/>
      <c r="AH212" s="115"/>
      <c r="AI212" s="115"/>
      <c r="AJ212" s="115"/>
      <c r="AK212" s="115"/>
      <c r="AL212" s="115"/>
    </row>
    <row r="213" spans="2:38" ht="15.75" customHeight="1"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/>
    </row>
    <row r="214" spans="2:38" ht="15.75" customHeight="1"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/>
    </row>
    <row r="215" spans="2:38" ht="15.75" customHeight="1"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  <c r="AD215" s="115"/>
      <c r="AE215" s="115"/>
      <c r="AF215" s="115"/>
      <c r="AG215" s="115"/>
      <c r="AH215" s="115"/>
      <c r="AI215" s="115"/>
      <c r="AJ215" s="115"/>
      <c r="AK215" s="115"/>
      <c r="AL215" s="115"/>
    </row>
    <row r="216" spans="2:38" ht="15.75" customHeight="1"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G216" s="115"/>
      <c r="AH216" s="115"/>
      <c r="AI216" s="115"/>
      <c r="AJ216" s="115"/>
      <c r="AK216" s="115"/>
      <c r="AL216" s="115"/>
    </row>
    <row r="217" spans="2:38" ht="15.75" customHeight="1"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/>
    </row>
    <row r="218" spans="2:38" ht="15.75" customHeight="1"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G218" s="115"/>
      <c r="AH218" s="115"/>
      <c r="AI218" s="115"/>
      <c r="AJ218" s="115"/>
      <c r="AK218" s="115"/>
      <c r="AL218" s="115"/>
    </row>
    <row r="219" spans="2:38" ht="15.75" customHeight="1"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G219" s="115"/>
      <c r="AH219" s="115"/>
      <c r="AI219" s="115"/>
      <c r="AJ219" s="115"/>
      <c r="AK219" s="115"/>
      <c r="AL219" s="115"/>
    </row>
    <row r="220" spans="2:38" ht="15.75" customHeight="1"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/>
      <c r="AF220" s="115"/>
      <c r="AG220" s="115"/>
      <c r="AH220" s="115"/>
      <c r="AI220" s="115"/>
      <c r="AJ220" s="115"/>
      <c r="AK220" s="115"/>
      <c r="AL220" s="115"/>
    </row>
    <row r="221" spans="2:38" ht="15.75" customHeight="1"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  <c r="AL221" s="115"/>
    </row>
    <row r="222" spans="2:38" ht="15.75" customHeight="1"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</row>
    <row r="223" spans="2:38" ht="15.75" customHeight="1"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</row>
    <row r="224" spans="2:38" ht="15.75" customHeight="1"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</row>
    <row r="225" spans="2:38" ht="15.75" customHeight="1"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60" t="s">
        <v>0</v>
      </c>
      <c r="C3" s="161"/>
      <c r="D3" s="161"/>
      <c r="E3" s="161"/>
      <c r="F3" s="161"/>
      <c r="G3" s="161"/>
      <c r="H3" s="161"/>
      <c r="I3" s="161"/>
      <c r="J3" s="161"/>
      <c r="K3" s="161"/>
      <c r="L3" s="356" t="s">
        <v>40</v>
      </c>
      <c r="M3" s="161"/>
      <c r="N3" s="161"/>
      <c r="O3" s="161"/>
      <c r="P3" s="161"/>
      <c r="Q3" s="161"/>
      <c r="R3" s="161"/>
      <c r="S3" s="16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63" t="s">
        <v>2</v>
      </c>
      <c r="C6" s="164"/>
      <c r="D6" s="165"/>
      <c r="E6" s="166"/>
      <c r="F6" s="27"/>
      <c r="G6" s="25"/>
      <c r="H6" s="28"/>
      <c r="I6" s="3"/>
      <c r="J6" s="3"/>
      <c r="K6" s="163" t="s">
        <v>3</v>
      </c>
      <c r="L6" s="164"/>
      <c r="M6" s="167" t="s">
        <v>41</v>
      </c>
      <c r="N6" s="166"/>
      <c r="O6" s="3"/>
      <c r="P6" s="3"/>
      <c r="Q6" s="3"/>
      <c r="R6" s="4" t="s">
        <v>5</v>
      </c>
      <c r="S6" s="5">
        <f ca="1">TODAY()</f>
        <v>46050</v>
      </c>
      <c r="T6" s="182"/>
      <c r="U6" s="161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5" t="s">
        <v>47</v>
      </c>
      <c r="C8" s="169"/>
      <c r="D8" s="169"/>
      <c r="E8" s="169"/>
      <c r="F8" s="169"/>
      <c r="G8" s="169"/>
      <c r="H8" s="169"/>
      <c r="I8" s="166"/>
      <c r="J8" s="6"/>
      <c r="K8" s="186" t="s">
        <v>7</v>
      </c>
      <c r="L8" s="169"/>
      <c r="M8" s="169"/>
      <c r="N8" s="169"/>
      <c r="O8" s="166"/>
      <c r="P8" s="6"/>
      <c r="Q8" s="163" t="s">
        <v>8</v>
      </c>
      <c r="R8" s="169"/>
      <c r="S8" s="166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58"/>
      <c r="R9" s="166"/>
      <c r="S9" s="29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62">
        <v>1</v>
      </c>
      <c r="C10" s="259"/>
      <c r="D10" s="228">
        <v>190</v>
      </c>
      <c r="E10" s="228">
        <v>190</v>
      </c>
      <c r="F10" s="340" t="s">
        <v>52</v>
      </c>
      <c r="G10" s="228">
        <v>450</v>
      </c>
      <c r="H10" s="227">
        <v>0.5</v>
      </c>
      <c r="I10" s="228">
        <f>(G10*H10)+G10+E10+D10</f>
        <v>1055</v>
      </c>
      <c r="J10" s="12"/>
      <c r="K10" s="228">
        <v>1330</v>
      </c>
      <c r="L10" s="228">
        <v>1330</v>
      </c>
      <c r="M10" s="228">
        <v>1330</v>
      </c>
      <c r="N10" s="228">
        <v>760</v>
      </c>
      <c r="O10" s="228">
        <f>SUM(K10:N10)</f>
        <v>4750</v>
      </c>
      <c r="P10" s="12"/>
      <c r="Q10" s="362" t="s">
        <v>53</v>
      </c>
      <c r="R10" s="257"/>
      <c r="S10" s="363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84"/>
      <c r="C11" s="184"/>
      <c r="D11" s="184"/>
      <c r="E11" s="184"/>
      <c r="F11" s="184"/>
      <c r="G11" s="184"/>
      <c r="H11" s="184"/>
      <c r="I11" s="184"/>
      <c r="J11" s="12"/>
      <c r="K11" s="184"/>
      <c r="L11" s="184"/>
      <c r="M11" s="184"/>
      <c r="N11" s="184"/>
      <c r="O11" s="184"/>
      <c r="P11" s="12"/>
      <c r="Q11" s="239"/>
      <c r="R11" s="255"/>
      <c r="S11" s="184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29">
        <v>2</v>
      </c>
      <c r="C12" s="229"/>
      <c r="D12" s="230">
        <v>190</v>
      </c>
      <c r="E12" s="230">
        <v>190</v>
      </c>
      <c r="F12" s="341" t="s">
        <v>52</v>
      </c>
      <c r="G12" s="230">
        <v>450</v>
      </c>
      <c r="H12" s="231">
        <v>1</v>
      </c>
      <c r="I12" s="230">
        <f>(G12*H12)+G12+E12+D12</f>
        <v>1280</v>
      </c>
      <c r="J12" s="12"/>
      <c r="K12" s="357"/>
      <c r="L12" s="357"/>
      <c r="M12" s="230"/>
      <c r="N12" s="357"/>
      <c r="O12" s="230">
        <f>SUM(K12:N12)</f>
        <v>0</v>
      </c>
      <c r="P12" s="12"/>
      <c r="Q12" s="362" t="s">
        <v>21</v>
      </c>
      <c r="R12" s="257"/>
      <c r="S12" s="364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84"/>
      <c r="C13" s="184"/>
      <c r="D13" s="184"/>
      <c r="E13" s="184"/>
      <c r="F13" s="184"/>
      <c r="G13" s="184"/>
      <c r="H13" s="184"/>
      <c r="I13" s="184"/>
      <c r="J13" s="12"/>
      <c r="K13" s="184"/>
      <c r="L13" s="184"/>
      <c r="M13" s="184"/>
      <c r="N13" s="184"/>
      <c r="O13" s="184"/>
      <c r="P13" s="12"/>
      <c r="Q13" s="239"/>
      <c r="R13" s="255"/>
      <c r="S13" s="18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68" t="s">
        <v>53</v>
      </c>
      <c r="C14" s="169"/>
      <c r="D14" s="169"/>
      <c r="E14" s="169"/>
      <c r="F14" s="169"/>
      <c r="G14" s="169"/>
      <c r="H14" s="166"/>
      <c r="I14" s="30">
        <f>SUM(I10:I13)</f>
        <v>2335</v>
      </c>
      <c r="J14" s="13"/>
      <c r="K14" s="263" t="s">
        <v>21</v>
      </c>
      <c r="L14" s="169"/>
      <c r="M14" s="169"/>
      <c r="N14" s="166"/>
      <c r="O14" s="15">
        <f>SUM(O10:O13)</f>
        <v>4750</v>
      </c>
      <c r="P14" s="13"/>
      <c r="Q14" s="365" t="s">
        <v>25</v>
      </c>
      <c r="R14" s="166"/>
      <c r="S14" s="31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5" t="s">
        <v>26</v>
      </c>
      <c r="C16" s="169"/>
      <c r="D16" s="166"/>
      <c r="E16" s="17" t="s">
        <v>9</v>
      </c>
      <c r="F16" s="185" t="s">
        <v>27</v>
      </c>
      <c r="G16" s="169"/>
      <c r="H16" s="169"/>
      <c r="I16" s="166"/>
      <c r="J16" s="6"/>
      <c r="K16" s="214" t="s">
        <v>26</v>
      </c>
      <c r="L16" s="188"/>
      <c r="M16" s="32" t="s">
        <v>9</v>
      </c>
      <c r="N16" s="214" t="s">
        <v>27</v>
      </c>
      <c r="O16" s="188"/>
      <c r="P16" s="6"/>
      <c r="Q16" s="360" t="s">
        <v>28</v>
      </c>
      <c r="R16" s="187"/>
      <c r="S16" s="188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42" t="s">
        <v>54</v>
      </c>
      <c r="C17" s="265"/>
      <c r="D17" s="257"/>
      <c r="E17" s="343">
        <f>COUNT(B10:B13)</f>
        <v>2</v>
      </c>
      <c r="F17" s="344" t="s">
        <v>55</v>
      </c>
      <c r="G17" s="265"/>
      <c r="H17" s="265"/>
      <c r="I17" s="257"/>
      <c r="J17" s="19"/>
      <c r="K17" s="346" t="s">
        <v>60</v>
      </c>
      <c r="L17" s="233"/>
      <c r="M17" s="241">
        <f>COUNT(K10:K13)</f>
        <v>1</v>
      </c>
      <c r="N17" s="246" t="s">
        <v>32</v>
      </c>
      <c r="O17" s="247"/>
      <c r="P17" s="19"/>
      <c r="Q17" s="361"/>
      <c r="R17" s="349"/>
      <c r="S17" s="247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239"/>
      <c r="C18" s="254"/>
      <c r="D18" s="255"/>
      <c r="E18" s="184"/>
      <c r="F18" s="261"/>
      <c r="G18" s="161"/>
      <c r="H18" s="161"/>
      <c r="I18" s="249"/>
      <c r="J18" s="19"/>
      <c r="K18" s="234"/>
      <c r="L18" s="235"/>
      <c r="M18" s="237"/>
      <c r="N18" s="248"/>
      <c r="O18" s="249"/>
      <c r="P18" s="19"/>
      <c r="Q18" s="234"/>
      <c r="R18" s="350"/>
      <c r="S18" s="25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45" t="s">
        <v>49</v>
      </c>
      <c r="C19" s="265"/>
      <c r="D19" s="257"/>
      <c r="E19" s="354">
        <f>COUNT(B10:B13)</f>
        <v>2</v>
      </c>
      <c r="F19" s="261"/>
      <c r="G19" s="161"/>
      <c r="H19" s="161"/>
      <c r="I19" s="249"/>
      <c r="J19" s="19"/>
      <c r="K19" s="347" t="s">
        <v>15</v>
      </c>
      <c r="L19" s="233"/>
      <c r="M19" s="236">
        <f>COUNT(L10:L13)</f>
        <v>1</v>
      </c>
      <c r="N19" s="248"/>
      <c r="O19" s="249"/>
      <c r="P19" s="19"/>
      <c r="Q19" s="348"/>
      <c r="R19" s="349"/>
      <c r="S19" s="247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239"/>
      <c r="C20" s="254"/>
      <c r="D20" s="255"/>
      <c r="E20" s="184"/>
      <c r="F20" s="239"/>
      <c r="G20" s="254"/>
      <c r="H20" s="254"/>
      <c r="I20" s="255"/>
      <c r="J20" s="19"/>
      <c r="K20" s="234"/>
      <c r="L20" s="235"/>
      <c r="M20" s="237"/>
      <c r="N20" s="250"/>
      <c r="O20" s="251"/>
      <c r="P20" s="19"/>
      <c r="Q20" s="234"/>
      <c r="R20" s="350"/>
      <c r="S20" s="25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42" t="s">
        <v>34</v>
      </c>
      <c r="C21" s="265"/>
      <c r="D21" s="257"/>
      <c r="E21" s="343">
        <v>0</v>
      </c>
      <c r="F21" s="353" t="s">
        <v>57</v>
      </c>
      <c r="G21" s="265"/>
      <c r="H21" s="265"/>
      <c r="I21" s="257"/>
      <c r="J21" s="19"/>
      <c r="K21" s="346" t="s">
        <v>16</v>
      </c>
      <c r="L21" s="233"/>
      <c r="M21" s="241">
        <f>COUNT(M10:M13)</f>
        <v>1</v>
      </c>
      <c r="N21" s="253" t="s">
        <v>36</v>
      </c>
      <c r="O21" s="349"/>
      <c r="P21" s="20"/>
      <c r="Q21" s="351"/>
      <c r="R21" s="349"/>
      <c r="S21" s="247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239"/>
      <c r="C22" s="254"/>
      <c r="D22" s="255"/>
      <c r="E22" s="184"/>
      <c r="F22" s="261"/>
      <c r="G22" s="161"/>
      <c r="H22" s="161"/>
      <c r="I22" s="249"/>
      <c r="J22" s="19"/>
      <c r="K22" s="234"/>
      <c r="L22" s="235"/>
      <c r="M22" s="237"/>
      <c r="N22" s="161"/>
      <c r="O22" s="161"/>
      <c r="P22" s="20"/>
      <c r="Q22" s="234"/>
      <c r="R22" s="350"/>
      <c r="S22" s="25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45" t="s">
        <v>37</v>
      </c>
      <c r="C23" s="265"/>
      <c r="D23" s="257"/>
      <c r="E23" s="354">
        <v>0</v>
      </c>
      <c r="F23" s="261"/>
      <c r="G23" s="161"/>
      <c r="H23" s="161"/>
      <c r="I23" s="249"/>
      <c r="J23" s="19"/>
      <c r="K23" s="347" t="s">
        <v>17</v>
      </c>
      <c r="L23" s="233"/>
      <c r="M23" s="355">
        <f>COUNT(N10:N13)</f>
        <v>1</v>
      </c>
      <c r="N23" s="161"/>
      <c r="O23" s="161"/>
      <c r="P23" s="20"/>
      <c r="Q23" s="352"/>
      <c r="R23" s="349"/>
      <c r="S23" s="247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239"/>
      <c r="C24" s="254"/>
      <c r="D24" s="255"/>
      <c r="E24" s="184"/>
      <c r="F24" s="239"/>
      <c r="G24" s="254"/>
      <c r="H24" s="254"/>
      <c r="I24" s="255"/>
      <c r="J24" s="33"/>
      <c r="K24" s="234"/>
      <c r="L24" s="235"/>
      <c r="M24" s="237"/>
      <c r="N24" s="161"/>
      <c r="O24" s="161"/>
      <c r="P24" s="20"/>
      <c r="Q24" s="234"/>
      <c r="R24" s="350"/>
      <c r="S24" s="25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42" t="s">
        <v>38</v>
      </c>
      <c r="C25" s="265"/>
      <c r="D25" s="257"/>
      <c r="E25" s="357">
        <f>COUNT(B10:B13)</f>
        <v>2</v>
      </c>
      <c r="F25" s="353" t="s">
        <v>61</v>
      </c>
      <c r="G25" s="265"/>
      <c r="H25" s="265"/>
      <c r="I25" s="257"/>
      <c r="J25" s="33"/>
      <c r="K25" s="346" t="s">
        <v>39</v>
      </c>
      <c r="L25" s="233"/>
      <c r="M25" s="241">
        <v>0</v>
      </c>
      <c r="N25" s="161"/>
      <c r="O25" s="161"/>
      <c r="P25" s="34"/>
      <c r="Q25" s="351"/>
      <c r="R25" s="349"/>
      <c r="S25" s="247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239"/>
      <c r="C26" s="254"/>
      <c r="D26" s="255"/>
      <c r="E26" s="184"/>
      <c r="F26" s="239"/>
      <c r="G26" s="254"/>
      <c r="H26" s="254"/>
      <c r="I26" s="255"/>
      <c r="J26" s="33"/>
      <c r="K26" s="239"/>
      <c r="L26" s="240"/>
      <c r="M26" s="242"/>
      <c r="N26" s="254"/>
      <c r="O26" s="254"/>
      <c r="P26" s="34"/>
      <c r="Q26" s="239"/>
      <c r="R26" s="254"/>
      <c r="S26" s="255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59"/>
      <c r="C28" s="161"/>
      <c r="D28" s="161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60" t="s">
        <v>0</v>
      </c>
      <c r="C3" s="161"/>
      <c r="D3" s="161"/>
      <c r="E3" s="161"/>
      <c r="F3" s="161"/>
      <c r="G3" s="161"/>
      <c r="H3" s="162" t="s">
        <v>40</v>
      </c>
      <c r="I3" s="161"/>
      <c r="J3" s="161"/>
      <c r="K3" s="161"/>
      <c r="L3" s="161"/>
      <c r="M3" s="161"/>
      <c r="N3" s="16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63" t="s">
        <v>2</v>
      </c>
      <c r="C6" s="164"/>
      <c r="D6" s="165"/>
      <c r="E6" s="166"/>
      <c r="F6" s="27"/>
      <c r="G6" s="25"/>
      <c r="H6" s="26"/>
      <c r="I6" s="26"/>
      <c r="J6" s="3"/>
      <c r="K6" s="3"/>
      <c r="L6" s="3"/>
      <c r="M6" s="4" t="s">
        <v>5</v>
      </c>
      <c r="N6" s="5">
        <f ca="1">TODAY()</f>
        <v>46050</v>
      </c>
      <c r="O6" s="182"/>
      <c r="P6" s="161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5" t="s">
        <v>62</v>
      </c>
      <c r="C8" s="169"/>
      <c r="D8" s="169"/>
      <c r="E8" s="169"/>
      <c r="F8" s="169"/>
      <c r="G8" s="169"/>
      <c r="H8" s="169"/>
      <c r="I8" s="169"/>
      <c r="J8" s="166"/>
      <c r="K8" s="6"/>
      <c r="L8" s="360" t="s">
        <v>8</v>
      </c>
      <c r="M8" s="187"/>
      <c r="N8" s="188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66" t="s">
        <v>12</v>
      </c>
      <c r="F9" s="166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58"/>
      <c r="M9" s="166"/>
      <c r="N9" s="29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62">
        <v>1</v>
      </c>
      <c r="C10" s="259" t="s">
        <v>67</v>
      </c>
      <c r="D10" s="228">
        <v>450</v>
      </c>
      <c r="E10" s="367"/>
      <c r="F10" s="257"/>
      <c r="G10" s="368">
        <v>2</v>
      </c>
      <c r="H10" s="228">
        <f>G10*D10</f>
        <v>900</v>
      </c>
      <c r="I10" s="227"/>
      <c r="J10" s="228">
        <f>(H10*E10)+H10</f>
        <v>900</v>
      </c>
      <c r="K10" s="12"/>
      <c r="L10" s="362" t="s">
        <v>68</v>
      </c>
      <c r="M10" s="257"/>
      <c r="N10" s="363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84"/>
      <c r="C11" s="184"/>
      <c r="D11" s="184"/>
      <c r="E11" s="239"/>
      <c r="F11" s="255"/>
      <c r="G11" s="184"/>
      <c r="H11" s="184"/>
      <c r="I11" s="184"/>
      <c r="J11" s="184"/>
      <c r="K11" s="12"/>
      <c r="L11" s="261"/>
      <c r="M11" s="249"/>
      <c r="N11" s="37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29">
        <v>2</v>
      </c>
      <c r="C12" s="229"/>
      <c r="D12" s="230">
        <v>450</v>
      </c>
      <c r="E12" s="370"/>
      <c r="F12" s="257"/>
      <c r="G12" s="357">
        <v>1</v>
      </c>
      <c r="H12" s="230">
        <f>G12*D12</f>
        <v>450</v>
      </c>
      <c r="I12" s="231"/>
      <c r="J12" s="230">
        <f>(H12*E12)+H12</f>
        <v>450</v>
      </c>
      <c r="K12" s="12"/>
      <c r="L12" s="261"/>
      <c r="M12" s="249"/>
      <c r="N12" s="37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84"/>
      <c r="C13" s="184"/>
      <c r="D13" s="184"/>
      <c r="E13" s="239"/>
      <c r="F13" s="255"/>
      <c r="G13" s="184"/>
      <c r="H13" s="184"/>
      <c r="I13" s="184"/>
      <c r="J13" s="184"/>
      <c r="K13" s="12"/>
      <c r="L13" s="239"/>
      <c r="M13" s="255"/>
      <c r="N13" s="184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68" t="s">
        <v>53</v>
      </c>
      <c r="C14" s="169"/>
      <c r="D14" s="169"/>
      <c r="E14" s="169"/>
      <c r="F14" s="169"/>
      <c r="G14" s="169"/>
      <c r="H14" s="166"/>
      <c r="I14" s="36"/>
      <c r="J14" s="30">
        <f>SUM(J10:J13)</f>
        <v>1350</v>
      </c>
      <c r="K14" s="13"/>
      <c r="L14" s="365" t="s">
        <v>25</v>
      </c>
      <c r="M14" s="166"/>
      <c r="N14" s="31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5" t="s">
        <v>26</v>
      </c>
      <c r="C16" s="169"/>
      <c r="D16" s="166"/>
      <c r="E16" s="17" t="s">
        <v>9</v>
      </c>
      <c r="F16" s="185" t="s">
        <v>27</v>
      </c>
      <c r="G16" s="169"/>
      <c r="H16" s="169"/>
      <c r="I16" s="169"/>
      <c r="J16" s="166"/>
      <c r="K16" s="6"/>
      <c r="L16" s="360" t="s">
        <v>28</v>
      </c>
      <c r="M16" s="187"/>
      <c r="N16" s="188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42" t="s">
        <v>48</v>
      </c>
      <c r="C17" s="265"/>
      <c r="D17" s="257"/>
      <c r="E17" s="343">
        <v>0</v>
      </c>
      <c r="F17" s="369" t="s">
        <v>55</v>
      </c>
      <c r="G17" s="265"/>
      <c r="H17" s="265"/>
      <c r="I17" s="265"/>
      <c r="J17" s="257"/>
      <c r="K17" s="19"/>
      <c r="L17" s="361"/>
      <c r="M17" s="349"/>
      <c r="N17" s="247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239"/>
      <c r="C18" s="254"/>
      <c r="D18" s="255"/>
      <c r="E18" s="184"/>
      <c r="F18" s="261"/>
      <c r="G18" s="161"/>
      <c r="H18" s="161"/>
      <c r="I18" s="161"/>
      <c r="J18" s="249"/>
      <c r="K18" s="19"/>
      <c r="L18" s="234"/>
      <c r="M18" s="350"/>
      <c r="N18" s="25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45" t="s">
        <v>69</v>
      </c>
      <c r="C19" s="265"/>
      <c r="D19" s="257"/>
      <c r="E19" s="354">
        <v>0</v>
      </c>
      <c r="F19" s="261"/>
      <c r="G19" s="161"/>
      <c r="H19" s="161"/>
      <c r="I19" s="161"/>
      <c r="J19" s="249"/>
      <c r="K19" s="19"/>
      <c r="L19" s="348"/>
      <c r="M19" s="349"/>
      <c r="N19" s="247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239"/>
      <c r="C20" s="254"/>
      <c r="D20" s="255"/>
      <c r="E20" s="184"/>
      <c r="F20" s="239"/>
      <c r="G20" s="254"/>
      <c r="H20" s="254"/>
      <c r="I20" s="254"/>
      <c r="J20" s="255"/>
      <c r="K20" s="19"/>
      <c r="L20" s="234"/>
      <c r="M20" s="350"/>
      <c r="N20" s="25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42" t="s">
        <v>34</v>
      </c>
      <c r="C21" s="265"/>
      <c r="D21" s="257"/>
      <c r="E21" s="343">
        <v>0</v>
      </c>
      <c r="F21" s="353" t="s">
        <v>57</v>
      </c>
      <c r="G21" s="265"/>
      <c r="H21" s="265"/>
      <c r="I21" s="265"/>
      <c r="J21" s="257"/>
      <c r="K21" s="19"/>
      <c r="L21" s="351"/>
      <c r="M21" s="349"/>
      <c r="N21" s="247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239"/>
      <c r="C22" s="254"/>
      <c r="D22" s="255"/>
      <c r="E22" s="184"/>
      <c r="F22" s="261"/>
      <c r="G22" s="161"/>
      <c r="H22" s="161"/>
      <c r="I22" s="161"/>
      <c r="J22" s="249"/>
      <c r="K22" s="19"/>
      <c r="L22" s="234"/>
      <c r="M22" s="350"/>
      <c r="N22" s="25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45" t="s">
        <v>37</v>
      </c>
      <c r="C23" s="265"/>
      <c r="D23" s="257"/>
      <c r="E23" s="354">
        <v>0</v>
      </c>
      <c r="F23" s="261"/>
      <c r="G23" s="161"/>
      <c r="H23" s="161"/>
      <c r="I23" s="161"/>
      <c r="J23" s="249"/>
      <c r="K23" s="19"/>
      <c r="L23" s="352"/>
      <c r="M23" s="349"/>
      <c r="N23" s="247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239"/>
      <c r="C24" s="254"/>
      <c r="D24" s="255"/>
      <c r="E24" s="184"/>
      <c r="F24" s="239"/>
      <c r="G24" s="254"/>
      <c r="H24" s="254"/>
      <c r="I24" s="254"/>
      <c r="J24" s="255"/>
      <c r="K24" s="33"/>
      <c r="L24" s="234"/>
      <c r="M24" s="350"/>
      <c r="N24" s="25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42" t="s">
        <v>38</v>
      </c>
      <c r="C25" s="265"/>
      <c r="D25" s="257"/>
      <c r="E25" s="357">
        <v>0</v>
      </c>
      <c r="F25" s="353" t="s">
        <v>61</v>
      </c>
      <c r="G25" s="265"/>
      <c r="H25" s="265"/>
      <c r="I25" s="265"/>
      <c r="J25" s="257"/>
      <c r="K25" s="33"/>
      <c r="L25" s="351"/>
      <c r="M25" s="349"/>
      <c r="N25" s="247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239"/>
      <c r="C26" s="254"/>
      <c r="D26" s="255"/>
      <c r="E26" s="184"/>
      <c r="F26" s="239"/>
      <c r="G26" s="254"/>
      <c r="H26" s="254"/>
      <c r="I26" s="254"/>
      <c r="J26" s="255"/>
      <c r="K26" s="33"/>
      <c r="L26" s="239"/>
      <c r="M26" s="254"/>
      <c r="N26" s="25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U998"/>
  <sheetViews>
    <sheetView zoomScale="55" zoomScaleNormal="55" workbookViewId="0"/>
  </sheetViews>
  <sheetFormatPr defaultColWidth="12.5703125" defaultRowHeight="15" customHeight="1"/>
  <cols>
    <col min="1" max="1" width="12.5703125" customWidth="1"/>
    <col min="3" max="3" width="41.5703125" bestFit="1" customWidth="1"/>
    <col min="4" max="5" width="31.28515625" customWidth="1"/>
    <col min="6" max="6" width="45.85546875" bestFit="1" customWidth="1"/>
    <col min="7" max="7" width="45.85546875" customWidth="1"/>
    <col min="8" max="8" width="43" bestFit="1" customWidth="1"/>
    <col min="9" max="9" width="43" customWidth="1"/>
    <col min="10" max="10" width="33.85546875" bestFit="1" customWidth="1"/>
    <col min="11" max="11" width="33.85546875" customWidth="1"/>
    <col min="12" max="12" width="45.85546875" bestFit="1" customWidth="1"/>
    <col min="13" max="13" width="36.85546875" customWidth="1"/>
    <col min="14" max="14" width="43.5703125" bestFit="1" customWidth="1"/>
    <col min="15" max="15" width="42.28515625" bestFit="1" customWidth="1"/>
    <col min="16" max="16" width="26" customWidth="1"/>
    <col min="17" max="17" width="4.85546875" customWidth="1"/>
    <col min="18" max="18" width="27.42578125" customWidth="1"/>
    <col min="19" max="19" width="28.5703125" customWidth="1"/>
    <col min="20" max="20" width="31" customWidth="1"/>
    <col min="21" max="21" width="39.85546875" customWidth="1"/>
  </cols>
  <sheetData>
    <row r="1" spans="2:21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21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1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21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21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21" ht="31.5" customHeight="1">
      <c r="B6" s="182"/>
      <c r="C6" s="16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21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21" ht="31.5" customHeight="1">
      <c r="B8" s="314" t="s">
        <v>70</v>
      </c>
      <c r="C8" s="302"/>
      <c r="D8" s="302"/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2"/>
      <c r="P8" s="283"/>
      <c r="Q8" s="117"/>
      <c r="R8" s="282" t="s">
        <v>165</v>
      </c>
      <c r="S8" s="302"/>
      <c r="T8" s="302"/>
      <c r="U8" s="283"/>
    </row>
    <row r="9" spans="2:21" ht="31.5" customHeight="1">
      <c r="B9" s="133" t="s">
        <v>9</v>
      </c>
      <c r="C9" s="132" t="s">
        <v>10</v>
      </c>
      <c r="D9" s="132" t="s">
        <v>167</v>
      </c>
      <c r="E9" s="132" t="s">
        <v>168</v>
      </c>
      <c r="F9" s="132" t="s">
        <v>169</v>
      </c>
      <c r="G9" s="132" t="s">
        <v>170</v>
      </c>
      <c r="H9" s="132" t="s">
        <v>171</v>
      </c>
      <c r="I9" s="132" t="s">
        <v>172</v>
      </c>
      <c r="J9" s="132" t="s">
        <v>173</v>
      </c>
      <c r="K9" s="132" t="s">
        <v>174</v>
      </c>
      <c r="L9" s="132" t="s">
        <v>175</v>
      </c>
      <c r="M9" s="132" t="s">
        <v>102</v>
      </c>
      <c r="N9" s="132" t="s">
        <v>176</v>
      </c>
      <c r="O9" s="132" t="s">
        <v>177</v>
      </c>
      <c r="P9" s="132" t="s">
        <v>13</v>
      </c>
      <c r="Q9" s="117"/>
      <c r="R9" s="134" t="s">
        <v>182</v>
      </c>
      <c r="S9" s="134" t="s">
        <v>60</v>
      </c>
      <c r="T9" s="134" t="s">
        <v>15</v>
      </c>
      <c r="U9" s="134" t="s">
        <v>13</v>
      </c>
    </row>
    <row r="10" spans="2:21" ht="31.5" customHeight="1">
      <c r="B10" s="313">
        <v>1</v>
      </c>
      <c r="C10" s="312" t="s">
        <v>72</v>
      </c>
      <c r="D10" s="312">
        <v>0</v>
      </c>
      <c r="E10" s="297">
        <v>190</v>
      </c>
      <c r="F10" s="312">
        <v>0</v>
      </c>
      <c r="G10" s="297">
        <v>190</v>
      </c>
      <c r="H10" s="312">
        <v>0</v>
      </c>
      <c r="I10" s="297">
        <v>190</v>
      </c>
      <c r="J10" s="312">
        <v>0</v>
      </c>
      <c r="K10" s="297">
        <v>190</v>
      </c>
      <c r="L10" s="312">
        <v>0</v>
      </c>
      <c r="M10" s="312">
        <v>1</v>
      </c>
      <c r="N10" s="312">
        <v>0</v>
      </c>
      <c r="O10" s="297">
        <v>90</v>
      </c>
      <c r="P10" s="297">
        <f>SUM(D10:O10)</f>
        <v>851</v>
      </c>
      <c r="Q10" s="117"/>
      <c r="R10" s="275"/>
      <c r="S10" s="274"/>
      <c r="T10" s="274">
        <v>1330</v>
      </c>
      <c r="U10" s="274">
        <f>SUM(R10:T10)</f>
        <v>1330</v>
      </c>
    </row>
    <row r="11" spans="2:21" ht="31.5" customHeight="1">
      <c r="B11" s="273"/>
      <c r="C11" s="273"/>
      <c r="D11" s="273"/>
      <c r="E11" s="382"/>
      <c r="F11" s="273"/>
      <c r="G11" s="382"/>
      <c r="H11" s="273"/>
      <c r="I11" s="382"/>
      <c r="J11" s="273"/>
      <c r="K11" s="382"/>
      <c r="L11" s="273"/>
      <c r="M11" s="418"/>
      <c r="N11" s="273"/>
      <c r="O11" s="273"/>
      <c r="P11" s="273"/>
      <c r="Q11" s="117"/>
      <c r="R11" s="273"/>
      <c r="S11" s="273"/>
      <c r="T11" s="273"/>
      <c r="U11" s="273"/>
    </row>
    <row r="12" spans="2:21" ht="31.5" customHeight="1">
      <c r="B12" s="310">
        <v>2</v>
      </c>
      <c r="C12" s="275" t="s">
        <v>150</v>
      </c>
      <c r="D12" s="312">
        <v>0</v>
      </c>
      <c r="E12" s="297">
        <v>190</v>
      </c>
      <c r="F12" s="312">
        <v>0</v>
      </c>
      <c r="G12" s="297">
        <v>190</v>
      </c>
      <c r="H12" s="312">
        <v>0</v>
      </c>
      <c r="I12" s="297">
        <v>190</v>
      </c>
      <c r="J12" s="312">
        <v>0</v>
      </c>
      <c r="K12" s="297">
        <v>190</v>
      </c>
      <c r="L12" s="312">
        <v>0</v>
      </c>
      <c r="M12" s="312">
        <v>1</v>
      </c>
      <c r="N12" s="312">
        <v>0</v>
      </c>
      <c r="O12" s="297">
        <v>90</v>
      </c>
      <c r="P12" s="297">
        <f>SUM(D12:O12)</f>
        <v>851</v>
      </c>
      <c r="Q12" s="117"/>
      <c r="R12" s="274">
        <v>1330</v>
      </c>
      <c r="S12" s="274">
        <v>1330</v>
      </c>
      <c r="T12" s="274"/>
      <c r="U12" s="274">
        <f>SUM(R12:T12)</f>
        <v>2660</v>
      </c>
    </row>
    <row r="13" spans="2:21" ht="31.5" customHeight="1">
      <c r="B13" s="273"/>
      <c r="C13" s="273"/>
      <c r="D13" s="273"/>
      <c r="E13" s="382"/>
      <c r="F13" s="273"/>
      <c r="G13" s="382"/>
      <c r="H13" s="273"/>
      <c r="I13" s="382"/>
      <c r="J13" s="273"/>
      <c r="K13" s="382"/>
      <c r="L13" s="273"/>
      <c r="M13" s="418"/>
      <c r="N13" s="273"/>
      <c r="O13" s="273"/>
      <c r="P13" s="273"/>
      <c r="Q13" s="117"/>
      <c r="R13" s="273"/>
      <c r="S13" s="273"/>
      <c r="T13" s="273"/>
      <c r="U13" s="273"/>
    </row>
    <row r="14" spans="2:21" ht="31.5" customHeight="1">
      <c r="B14" s="313">
        <v>3</v>
      </c>
      <c r="C14" s="312" t="s">
        <v>154</v>
      </c>
      <c r="D14" s="312">
        <v>0</v>
      </c>
      <c r="E14" s="297">
        <v>190</v>
      </c>
      <c r="F14" s="312">
        <v>0</v>
      </c>
      <c r="G14" s="297">
        <v>190</v>
      </c>
      <c r="H14" s="312">
        <v>0</v>
      </c>
      <c r="I14" s="297">
        <v>190</v>
      </c>
      <c r="J14" s="312">
        <v>0</v>
      </c>
      <c r="K14" s="297">
        <v>190</v>
      </c>
      <c r="L14" s="312">
        <v>0</v>
      </c>
      <c r="M14" s="312">
        <v>1</v>
      </c>
      <c r="N14" s="312">
        <v>0</v>
      </c>
      <c r="O14" s="297">
        <v>90</v>
      </c>
      <c r="P14" s="297">
        <f>SUM(D14:O14)</f>
        <v>851</v>
      </c>
      <c r="Q14" s="117"/>
      <c r="R14" s="275"/>
      <c r="S14" s="275"/>
      <c r="T14" s="274">
        <v>1330</v>
      </c>
      <c r="U14" s="274">
        <f>SUM(R14:T14)</f>
        <v>1330</v>
      </c>
    </row>
    <row r="15" spans="2:21" ht="31.5" customHeight="1">
      <c r="B15" s="273"/>
      <c r="C15" s="273"/>
      <c r="D15" s="273"/>
      <c r="E15" s="382"/>
      <c r="F15" s="273"/>
      <c r="G15" s="382"/>
      <c r="H15" s="273"/>
      <c r="I15" s="382"/>
      <c r="J15" s="273"/>
      <c r="K15" s="382"/>
      <c r="L15" s="273"/>
      <c r="M15" s="418"/>
      <c r="N15" s="273"/>
      <c r="O15" s="273"/>
      <c r="P15" s="273"/>
      <c r="Q15" s="117"/>
      <c r="R15" s="273"/>
      <c r="S15" s="273"/>
      <c r="T15" s="273"/>
      <c r="U15" s="273"/>
    </row>
    <row r="16" spans="2:21" ht="31.5" customHeight="1">
      <c r="B16" s="310">
        <v>4</v>
      </c>
      <c r="C16" s="275" t="s">
        <v>155</v>
      </c>
      <c r="D16" s="312">
        <v>0</v>
      </c>
      <c r="E16" s="297">
        <v>190</v>
      </c>
      <c r="F16" s="312">
        <v>0</v>
      </c>
      <c r="G16" s="297">
        <v>190</v>
      </c>
      <c r="H16" s="312">
        <v>0</v>
      </c>
      <c r="I16" s="297">
        <v>190</v>
      </c>
      <c r="J16" s="312">
        <v>0</v>
      </c>
      <c r="K16" s="297">
        <v>190</v>
      </c>
      <c r="L16" s="312">
        <v>0</v>
      </c>
      <c r="M16" s="312">
        <v>1</v>
      </c>
      <c r="N16" s="312">
        <v>0</v>
      </c>
      <c r="O16" s="297">
        <v>90</v>
      </c>
      <c r="P16" s="297">
        <f>SUM(D16:O16)</f>
        <v>851</v>
      </c>
      <c r="Q16" s="117"/>
      <c r="R16" s="274">
        <v>1330</v>
      </c>
      <c r="S16" s="275"/>
      <c r="T16" s="275"/>
      <c r="U16" s="274">
        <f>SUM(R16:T16)</f>
        <v>1330</v>
      </c>
    </row>
    <row r="17" spans="2:21" ht="31.5" customHeight="1">
      <c r="B17" s="273"/>
      <c r="C17" s="273"/>
      <c r="D17" s="273"/>
      <c r="E17" s="382"/>
      <c r="F17" s="273"/>
      <c r="G17" s="382"/>
      <c r="H17" s="273"/>
      <c r="I17" s="382"/>
      <c r="J17" s="273"/>
      <c r="K17" s="382"/>
      <c r="L17" s="273"/>
      <c r="M17" s="418"/>
      <c r="N17" s="273"/>
      <c r="O17" s="273"/>
      <c r="P17" s="273"/>
      <c r="Q17" s="117"/>
      <c r="R17" s="273"/>
      <c r="S17" s="273"/>
      <c r="T17" s="273"/>
      <c r="U17" s="273"/>
    </row>
    <row r="18" spans="2:21" ht="31.5" customHeight="1">
      <c r="B18" s="313">
        <v>5</v>
      </c>
      <c r="C18" s="312" t="s">
        <v>156</v>
      </c>
      <c r="D18" s="312">
        <v>0</v>
      </c>
      <c r="E18" s="297">
        <v>190</v>
      </c>
      <c r="F18" s="312">
        <v>0</v>
      </c>
      <c r="G18" s="297">
        <v>190</v>
      </c>
      <c r="H18" s="312">
        <v>0</v>
      </c>
      <c r="I18" s="297">
        <v>190</v>
      </c>
      <c r="J18" s="312">
        <v>0</v>
      </c>
      <c r="K18" s="297">
        <v>190</v>
      </c>
      <c r="L18" s="312">
        <v>0</v>
      </c>
      <c r="M18" s="312">
        <v>1</v>
      </c>
      <c r="N18" s="312">
        <v>0</v>
      </c>
      <c r="O18" s="297">
        <v>90</v>
      </c>
      <c r="P18" s="297">
        <f>SUM(D18:O18)</f>
        <v>851</v>
      </c>
      <c r="Q18" s="117"/>
      <c r="R18" s="275"/>
      <c r="S18" s="275"/>
      <c r="T18" s="274"/>
      <c r="U18" s="274">
        <f>SUM(R18:T18)</f>
        <v>0</v>
      </c>
    </row>
    <row r="19" spans="2:21" ht="31.5" customHeight="1">
      <c r="B19" s="273"/>
      <c r="C19" s="273"/>
      <c r="D19" s="273"/>
      <c r="E19" s="382"/>
      <c r="F19" s="273"/>
      <c r="G19" s="382"/>
      <c r="H19" s="273"/>
      <c r="I19" s="382"/>
      <c r="J19" s="273"/>
      <c r="K19" s="382"/>
      <c r="L19" s="273"/>
      <c r="M19" s="418"/>
      <c r="N19" s="273"/>
      <c r="O19" s="273"/>
      <c r="P19" s="273"/>
      <c r="Q19" s="117"/>
      <c r="R19" s="273"/>
      <c r="S19" s="273"/>
      <c r="T19" s="273"/>
      <c r="U19" s="273"/>
    </row>
    <row r="20" spans="2:21" ht="31.5" customHeight="1">
      <c r="B20" s="315" t="s">
        <v>73</v>
      </c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408"/>
      <c r="P20" s="126">
        <f>SUM(P10:P19)</f>
        <v>4255</v>
      </c>
      <c r="Q20" s="117"/>
      <c r="R20" s="301" t="s">
        <v>164</v>
      </c>
      <c r="S20" s="302"/>
      <c r="T20" s="302"/>
      <c r="U20" s="127">
        <f>SUM(U10:U19)</f>
        <v>6650</v>
      </c>
    </row>
    <row r="21" spans="2:21" ht="31.5" customHeight="1"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17"/>
      <c r="R21" s="123"/>
      <c r="S21" s="123"/>
      <c r="T21" s="123"/>
      <c r="U21" s="123"/>
    </row>
    <row r="22" spans="2:21" ht="31.5" customHeight="1">
      <c r="B22" s="390" t="s">
        <v>26</v>
      </c>
      <c r="C22" s="391"/>
      <c r="D22" s="391"/>
      <c r="E22" s="392"/>
      <c r="F22" s="144" t="s">
        <v>9</v>
      </c>
      <c r="G22" s="390" t="s">
        <v>74</v>
      </c>
      <c r="H22" s="391"/>
      <c r="I22" s="391"/>
      <c r="J22" s="392"/>
      <c r="K22" s="390" t="s">
        <v>27</v>
      </c>
      <c r="L22" s="391"/>
      <c r="M22" s="391"/>
      <c r="N22" s="391"/>
      <c r="O22" s="391"/>
      <c r="P22" s="392"/>
      <c r="Q22" s="117"/>
      <c r="R22" s="282" t="s">
        <v>26</v>
      </c>
      <c r="S22" s="283"/>
      <c r="T22" s="153" t="s">
        <v>9</v>
      </c>
      <c r="U22" s="154" t="s">
        <v>27</v>
      </c>
    </row>
    <row r="23" spans="2:21" ht="31.5" customHeight="1">
      <c r="B23" s="393" t="s">
        <v>54</v>
      </c>
      <c r="C23" s="394"/>
      <c r="D23" s="394"/>
      <c r="E23" s="395"/>
      <c r="F23" s="389">
        <f>COUNT(D10:D19)</f>
        <v>5</v>
      </c>
      <c r="G23" s="296" t="s">
        <v>75</v>
      </c>
      <c r="H23" s="425"/>
      <c r="I23" s="425"/>
      <c r="J23" s="426"/>
      <c r="K23" s="317" t="s">
        <v>161</v>
      </c>
      <c r="L23" s="399"/>
      <c r="M23" s="399"/>
      <c r="N23" s="399"/>
      <c r="O23" s="399"/>
      <c r="P23" s="400"/>
      <c r="Q23" s="117"/>
      <c r="R23" s="380" t="s">
        <v>182</v>
      </c>
      <c r="S23" s="289"/>
      <c r="T23" s="381">
        <f>COUNT(R10:R19)</f>
        <v>2</v>
      </c>
      <c r="U23" s="419"/>
    </row>
    <row r="24" spans="2:21" ht="31.5" customHeight="1">
      <c r="B24" s="396"/>
      <c r="C24" s="397"/>
      <c r="D24" s="397"/>
      <c r="E24" s="398"/>
      <c r="F24" s="309"/>
      <c r="G24" s="427"/>
      <c r="H24" s="428"/>
      <c r="I24" s="428"/>
      <c r="J24" s="429"/>
      <c r="K24" s="401"/>
      <c r="L24" s="402"/>
      <c r="M24" s="402"/>
      <c r="N24" s="402"/>
      <c r="O24" s="402"/>
      <c r="P24" s="403"/>
      <c r="Q24" s="117"/>
      <c r="R24" s="290"/>
      <c r="S24" s="291"/>
      <c r="T24" s="290"/>
      <c r="U24" s="419"/>
    </row>
    <row r="25" spans="2:21" ht="31.5" customHeight="1">
      <c r="B25" s="383" t="s">
        <v>149</v>
      </c>
      <c r="C25" s="384"/>
      <c r="D25" s="384"/>
      <c r="E25" s="385"/>
      <c r="F25" s="286">
        <f>COUNT(F10:F19)</f>
        <v>5</v>
      </c>
      <c r="G25" s="288" t="s">
        <v>76</v>
      </c>
      <c r="H25" s="430"/>
      <c r="I25" s="430"/>
      <c r="J25" s="431"/>
      <c r="K25" s="401"/>
      <c r="L25" s="402"/>
      <c r="M25" s="402"/>
      <c r="N25" s="402"/>
      <c r="O25" s="402"/>
      <c r="P25" s="403"/>
      <c r="Q25" s="117"/>
      <c r="R25" s="372" t="s">
        <v>60</v>
      </c>
      <c r="S25" s="289"/>
      <c r="T25" s="375">
        <f>COUNT(S10:S19)</f>
        <v>1</v>
      </c>
      <c r="U25" s="419"/>
    </row>
    <row r="26" spans="2:21" ht="31.5" customHeight="1">
      <c r="B26" s="386"/>
      <c r="C26" s="387"/>
      <c r="D26" s="387"/>
      <c r="E26" s="388"/>
      <c r="F26" s="287"/>
      <c r="G26" s="432"/>
      <c r="H26" s="433"/>
      <c r="I26" s="433"/>
      <c r="J26" s="434"/>
      <c r="K26" s="404"/>
      <c r="L26" s="405"/>
      <c r="M26" s="405"/>
      <c r="N26" s="405"/>
      <c r="O26" s="405"/>
      <c r="P26" s="406"/>
      <c r="Q26" s="117"/>
      <c r="R26" s="373"/>
      <c r="S26" s="374"/>
      <c r="T26" s="373"/>
      <c r="U26" s="419"/>
    </row>
    <row r="27" spans="2:21" ht="31.5" customHeight="1">
      <c r="B27" s="393" t="s">
        <v>51</v>
      </c>
      <c r="C27" s="394"/>
      <c r="D27" s="394"/>
      <c r="E27" s="395"/>
      <c r="F27" s="284">
        <f>COUNT(H10:H19)</f>
        <v>5</v>
      </c>
      <c r="G27" s="295" t="s">
        <v>159</v>
      </c>
      <c r="H27" s="420"/>
      <c r="I27" s="420"/>
      <c r="J27" s="421"/>
      <c r="K27" s="409"/>
      <c r="L27" s="410"/>
      <c r="M27" s="410"/>
      <c r="N27" s="410"/>
      <c r="O27" s="410"/>
      <c r="P27" s="411"/>
      <c r="Q27" s="117"/>
      <c r="R27" s="376" t="s">
        <v>15</v>
      </c>
      <c r="S27" s="377"/>
      <c r="T27" s="378">
        <f>COUNT(T10:T19)</f>
        <v>2</v>
      </c>
      <c r="U27" s="419"/>
    </row>
    <row r="28" spans="2:21" ht="31.5" customHeight="1">
      <c r="B28" s="396"/>
      <c r="C28" s="397"/>
      <c r="D28" s="397"/>
      <c r="E28" s="398"/>
      <c r="F28" s="285"/>
      <c r="G28" s="422"/>
      <c r="H28" s="423"/>
      <c r="I28" s="423"/>
      <c r="J28" s="424"/>
      <c r="K28" s="412"/>
      <c r="L28" s="413"/>
      <c r="M28" s="413"/>
      <c r="N28" s="413"/>
      <c r="O28" s="413"/>
      <c r="P28" s="414"/>
      <c r="Q28" s="117"/>
      <c r="R28" s="377"/>
      <c r="S28" s="377"/>
      <c r="T28" s="379"/>
      <c r="U28" s="419"/>
    </row>
    <row r="29" spans="2:21" ht="31.5" customHeight="1">
      <c r="B29" s="383" t="s">
        <v>50</v>
      </c>
      <c r="C29" s="384"/>
      <c r="D29" s="384"/>
      <c r="E29" s="385"/>
      <c r="F29" s="286">
        <f>COUNT(J10:J19)</f>
        <v>5</v>
      </c>
      <c r="G29" s="288" t="s">
        <v>77</v>
      </c>
      <c r="H29" s="430"/>
      <c r="I29" s="430"/>
      <c r="J29" s="431"/>
      <c r="K29" s="412"/>
      <c r="L29" s="413"/>
      <c r="M29" s="413"/>
      <c r="N29" s="413"/>
      <c r="O29" s="413"/>
      <c r="P29" s="414"/>
      <c r="Q29" s="117"/>
      <c r="R29" s="501"/>
      <c r="S29" s="502"/>
      <c r="T29" s="503"/>
      <c r="U29" s="504"/>
    </row>
    <row r="30" spans="2:21" ht="31.5" customHeight="1">
      <c r="B30" s="386"/>
      <c r="C30" s="387"/>
      <c r="D30" s="387"/>
      <c r="E30" s="388"/>
      <c r="F30" s="287"/>
      <c r="G30" s="432"/>
      <c r="H30" s="433"/>
      <c r="I30" s="433"/>
      <c r="J30" s="434"/>
      <c r="K30" s="412"/>
      <c r="L30" s="413"/>
      <c r="M30" s="413"/>
      <c r="N30" s="413"/>
      <c r="O30" s="413"/>
      <c r="P30" s="414"/>
      <c r="Q30" s="117"/>
      <c r="R30" s="502"/>
      <c r="S30" s="502"/>
      <c r="T30" s="502"/>
      <c r="U30" s="504"/>
    </row>
    <row r="31" spans="2:21" ht="31.5" customHeight="1">
      <c r="B31" s="393" t="s">
        <v>58</v>
      </c>
      <c r="C31" s="394"/>
      <c r="D31" s="394"/>
      <c r="E31" s="395"/>
      <c r="F31" s="284">
        <f>COUNT(L10:L19)</f>
        <v>5</v>
      </c>
      <c r="G31" s="295" t="s">
        <v>78</v>
      </c>
      <c r="H31" s="420"/>
      <c r="I31" s="420"/>
      <c r="J31" s="421"/>
      <c r="K31" s="412"/>
      <c r="L31" s="413"/>
      <c r="M31" s="413"/>
      <c r="N31" s="413"/>
      <c r="O31" s="413"/>
      <c r="P31" s="414"/>
      <c r="Q31" s="115"/>
      <c r="R31" s="505"/>
      <c r="S31" s="502"/>
      <c r="T31" s="506"/>
      <c r="U31" s="504"/>
    </row>
    <row r="32" spans="2:21" ht="31.5" customHeight="1">
      <c r="B32" s="396"/>
      <c r="C32" s="397"/>
      <c r="D32" s="397"/>
      <c r="E32" s="398"/>
      <c r="F32" s="285"/>
      <c r="G32" s="422"/>
      <c r="H32" s="423"/>
      <c r="I32" s="423"/>
      <c r="J32" s="424"/>
      <c r="K32" s="412"/>
      <c r="L32" s="413"/>
      <c r="M32" s="413"/>
      <c r="N32" s="413"/>
      <c r="O32" s="413"/>
      <c r="P32" s="414"/>
      <c r="Q32" s="115"/>
      <c r="R32" s="502"/>
      <c r="S32" s="502"/>
      <c r="T32" s="502"/>
      <c r="U32" s="504"/>
    </row>
    <row r="33" spans="2:21" ht="31.5" customHeight="1">
      <c r="B33" s="393" t="s">
        <v>151</v>
      </c>
      <c r="C33" s="394"/>
      <c r="D33" s="394"/>
      <c r="E33" s="395"/>
      <c r="F33" s="284">
        <f>COUNT(O10:O19)</f>
        <v>5</v>
      </c>
      <c r="G33" s="295" t="s">
        <v>152</v>
      </c>
      <c r="H33" s="420"/>
      <c r="I33" s="420"/>
      <c r="J33" s="421"/>
      <c r="K33" s="412"/>
      <c r="L33" s="413"/>
      <c r="M33" s="413"/>
      <c r="N33" s="413"/>
      <c r="O33" s="413"/>
      <c r="P33" s="414"/>
      <c r="Q33" s="115"/>
      <c r="R33" s="114"/>
      <c r="S33" s="114"/>
      <c r="T33" s="114"/>
      <c r="U33" s="115"/>
    </row>
    <row r="34" spans="2:21" ht="31.5" customHeight="1">
      <c r="B34" s="396"/>
      <c r="C34" s="397"/>
      <c r="D34" s="397"/>
      <c r="E34" s="398"/>
      <c r="F34" s="285"/>
      <c r="G34" s="422"/>
      <c r="H34" s="423"/>
      <c r="I34" s="423"/>
      <c r="J34" s="424"/>
      <c r="K34" s="415"/>
      <c r="L34" s="416"/>
      <c r="M34" s="416"/>
      <c r="N34" s="416"/>
      <c r="O34" s="416"/>
      <c r="P34" s="417"/>
      <c r="Q34" s="115"/>
      <c r="R34" s="114"/>
      <c r="S34" s="114"/>
      <c r="T34" s="114"/>
      <c r="U34" s="115"/>
    </row>
    <row r="35" spans="2:21" ht="31.5" customHeight="1">
      <c r="B35" s="393" t="s">
        <v>178</v>
      </c>
      <c r="C35" s="394"/>
      <c r="D35" s="394"/>
      <c r="E35" s="395"/>
      <c r="F35" s="297">
        <v>190</v>
      </c>
      <c r="G35" s="295"/>
      <c r="H35" s="420"/>
      <c r="I35" s="420"/>
      <c r="J35" s="421"/>
      <c r="K35" s="1"/>
      <c r="Q35" s="115"/>
      <c r="R35" s="114"/>
      <c r="S35" s="114"/>
      <c r="T35" s="114"/>
      <c r="U35" s="115"/>
    </row>
    <row r="36" spans="2:21" ht="31.5" customHeight="1">
      <c r="B36" s="396"/>
      <c r="C36" s="397"/>
      <c r="D36" s="397"/>
      <c r="E36" s="398"/>
      <c r="F36" s="382"/>
      <c r="G36" s="422"/>
      <c r="H36" s="423"/>
      <c r="I36" s="423"/>
      <c r="J36" s="424"/>
      <c r="K36" s="1"/>
      <c r="Q36" s="115"/>
      <c r="R36" s="114"/>
      <c r="S36" s="114"/>
      <c r="T36" s="114"/>
      <c r="U36" s="115"/>
    </row>
    <row r="37" spans="2:21" ht="31.5" customHeight="1">
      <c r="B37" s="393" t="s">
        <v>179</v>
      </c>
      <c r="C37" s="394"/>
      <c r="D37" s="394"/>
      <c r="E37" s="395"/>
      <c r="F37" s="297">
        <v>90</v>
      </c>
      <c r="G37" s="295"/>
      <c r="H37" s="420"/>
      <c r="I37" s="420"/>
      <c r="J37" s="421"/>
      <c r="K37" s="1"/>
      <c r="Q37" s="115"/>
      <c r="R37" s="114"/>
      <c r="S37" s="114"/>
      <c r="T37" s="114"/>
      <c r="U37" s="115"/>
    </row>
    <row r="38" spans="2:21" ht="31.5" customHeight="1">
      <c r="B38" s="396"/>
      <c r="C38" s="397"/>
      <c r="D38" s="397"/>
      <c r="E38" s="398"/>
      <c r="F38" s="382"/>
      <c r="G38" s="422"/>
      <c r="H38" s="423"/>
      <c r="I38" s="423"/>
      <c r="J38" s="424"/>
      <c r="K38" s="1"/>
      <c r="Q38" s="115"/>
      <c r="R38" s="114"/>
      <c r="S38" s="114"/>
      <c r="T38" s="114"/>
      <c r="U38" s="115"/>
    </row>
    <row r="39" spans="2:21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1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1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1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1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1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1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1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1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1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7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7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7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7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7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7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7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7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7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7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7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7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7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7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2:17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2:17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2:1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2:17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2:17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2:17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2:17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2:17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2:17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2:17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2:17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2:1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2:17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2:17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2:17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2:17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2:17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2:17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2:17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2:17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2: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2:17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2:17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2:17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2:17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2:17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2:17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2:17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2:17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2:1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2:17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2:17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2:17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2:17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2:17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2:17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2:17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2:17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2:17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2:1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2:17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2:17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2:17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2:17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2:17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2:17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2:17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2:17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2:1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2:17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2:17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2:17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2:17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2:17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2:17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2:17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2:17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2:1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2:17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2:17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2:17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2:17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2:17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2:17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2:17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2:17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2:1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2:17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2:17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2:17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2:17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2:17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2:17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2:17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2:17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2:17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2:17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2:17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2:17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2:1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2:17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2:17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2:17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2:17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2:17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2:17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2:1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2:17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2:17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2:17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2:17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2:17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2:17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2:17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2:17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2:1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2:17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2:17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2:17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2:17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2:17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2:17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2:17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41">
    <mergeCell ref="U23:U28"/>
    <mergeCell ref="B35:E36"/>
    <mergeCell ref="F35:F36"/>
    <mergeCell ref="G35:J36"/>
    <mergeCell ref="B37:E38"/>
    <mergeCell ref="F37:F38"/>
    <mergeCell ref="G37:J38"/>
    <mergeCell ref="K16:K17"/>
    <mergeCell ref="K18:K19"/>
    <mergeCell ref="T29:T30"/>
    <mergeCell ref="F31:F32"/>
    <mergeCell ref="R31:S32"/>
    <mergeCell ref="T31:T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  <mergeCell ref="M10:M11"/>
    <mergeCell ref="M12:M13"/>
    <mergeCell ref="M14:M15"/>
    <mergeCell ref="M16:M17"/>
    <mergeCell ref="M18:M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  <mergeCell ref="B25:E26"/>
    <mergeCell ref="F25:F26"/>
    <mergeCell ref="F23:F24"/>
    <mergeCell ref="H18:H19"/>
    <mergeCell ref="J18:J19"/>
    <mergeCell ref="L18:L19"/>
    <mergeCell ref="N18:N19"/>
    <mergeCell ref="B22:E22"/>
    <mergeCell ref="B23:E24"/>
    <mergeCell ref="K22:P22"/>
    <mergeCell ref="K23:P26"/>
    <mergeCell ref="B18:B19"/>
    <mergeCell ref="C18:C19"/>
    <mergeCell ref="D18:D19"/>
    <mergeCell ref="F18:F19"/>
    <mergeCell ref="B20:O20"/>
    <mergeCell ref="E18:E19"/>
    <mergeCell ref="P12:P13"/>
    <mergeCell ref="R12:R13"/>
    <mergeCell ref="S12:S13"/>
    <mergeCell ref="L14:L15"/>
    <mergeCell ref="E12:E13"/>
    <mergeCell ref="E14:E15"/>
    <mergeCell ref="K12:K13"/>
    <mergeCell ref="K14:K15"/>
    <mergeCell ref="J12:J13"/>
    <mergeCell ref="F12:F13"/>
    <mergeCell ref="B14:B15"/>
    <mergeCell ref="C14:C15"/>
    <mergeCell ref="D14:D15"/>
    <mergeCell ref="F14:F15"/>
    <mergeCell ref="N14:N15"/>
    <mergeCell ref="O14:O15"/>
    <mergeCell ref="L12:L13"/>
    <mergeCell ref="N12:N13"/>
    <mergeCell ref="O12:O13"/>
    <mergeCell ref="E16:E17"/>
    <mergeCell ref="B6:C6"/>
    <mergeCell ref="B8:P8"/>
    <mergeCell ref="R8:U8"/>
    <mergeCell ref="B10:B11"/>
    <mergeCell ref="C10:C11"/>
    <mergeCell ref="D10:D11"/>
    <mergeCell ref="F10:F11"/>
    <mergeCell ref="T10:T11"/>
    <mergeCell ref="H10:H11"/>
    <mergeCell ref="J10:J11"/>
    <mergeCell ref="L10:L11"/>
    <mergeCell ref="N10:N11"/>
    <mergeCell ref="O10:O11"/>
    <mergeCell ref="P10:P11"/>
    <mergeCell ref="R10:R11"/>
    <mergeCell ref="S10:S11"/>
    <mergeCell ref="U10:U11"/>
    <mergeCell ref="E10:E11"/>
    <mergeCell ref="K10:K11"/>
    <mergeCell ref="T12:T13"/>
    <mergeCell ref="B12:B13"/>
    <mergeCell ref="C12:C13"/>
    <mergeCell ref="D12:D13"/>
    <mergeCell ref="U18:U19"/>
    <mergeCell ref="R20:T20"/>
    <mergeCell ref="U12:U13"/>
    <mergeCell ref="U14:U15"/>
    <mergeCell ref="B16:B17"/>
    <mergeCell ref="C16:C17"/>
    <mergeCell ref="D16:D17"/>
    <mergeCell ref="F16:F17"/>
    <mergeCell ref="H16:H17"/>
    <mergeCell ref="J16:J17"/>
    <mergeCell ref="L16:L17"/>
    <mergeCell ref="N16:N17"/>
    <mergeCell ref="O16:O17"/>
    <mergeCell ref="P16:P17"/>
    <mergeCell ref="R16:R17"/>
    <mergeCell ref="S16:S17"/>
    <mergeCell ref="T16:T17"/>
    <mergeCell ref="U16:U17"/>
    <mergeCell ref="P14:P15"/>
    <mergeCell ref="R14:R15"/>
    <mergeCell ref="S14:S15"/>
    <mergeCell ref="T14:T15"/>
    <mergeCell ref="H14:H15"/>
    <mergeCell ref="J14:J15"/>
    <mergeCell ref="R29:S30"/>
    <mergeCell ref="F27:F28"/>
    <mergeCell ref="R25:S26"/>
    <mergeCell ref="T25:T26"/>
    <mergeCell ref="R27:S28"/>
    <mergeCell ref="T27:T28"/>
    <mergeCell ref="F33:F34"/>
    <mergeCell ref="R22:S22"/>
    <mergeCell ref="O18:O19"/>
    <mergeCell ref="P18:P19"/>
    <mergeCell ref="R18:R19"/>
    <mergeCell ref="S18:S19"/>
    <mergeCell ref="T18:T19"/>
    <mergeCell ref="R23:S24"/>
    <mergeCell ref="T23:T24"/>
    <mergeCell ref="F29:F30"/>
    <mergeCell ref="K27:P34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7" t="s">
        <v>79</v>
      </c>
      <c r="B1" s="38"/>
      <c r="C1" s="37" t="s">
        <v>80</v>
      </c>
      <c r="D1" s="435"/>
      <c r="E1" s="254"/>
      <c r="F1" s="254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3.5" customHeight="1">
      <c r="A2" s="37" t="s">
        <v>5</v>
      </c>
      <c r="B2" s="40">
        <f ca="1">TODAY()</f>
        <v>46050</v>
      </c>
      <c r="C2" s="41"/>
      <c r="D2" s="41"/>
      <c r="E2" s="41"/>
      <c r="F2" s="41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3.5" customHeight="1">
      <c r="A3" s="42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3.5" customHeight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3.5" customHeight="1">
      <c r="A5" s="43" t="s">
        <v>81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3.5" customHeight="1">
      <c r="A6" s="39"/>
      <c r="B6" s="39"/>
      <c r="C6" s="39"/>
      <c r="D6" s="39"/>
      <c r="E6" s="436" t="s">
        <v>82</v>
      </c>
      <c r="F6" s="161"/>
      <c r="G6" s="39" t="s">
        <v>83</v>
      </c>
      <c r="H6" s="44"/>
      <c r="I6" s="44"/>
      <c r="J6" s="44"/>
      <c r="K6" s="44"/>
      <c r="L6" s="44"/>
      <c r="M6" s="44"/>
      <c r="N6" s="39"/>
      <c r="O6" s="44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3.5" customHeight="1">
      <c r="A7" s="42" t="s">
        <v>63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.5" customHeight="1">
      <c r="A8" s="45" t="s">
        <v>84</v>
      </c>
      <c r="B8" s="45"/>
      <c r="C8" s="45"/>
      <c r="D8" s="45"/>
      <c r="E8" s="45"/>
      <c r="F8" s="45"/>
      <c r="G8" s="45"/>
      <c r="H8" s="46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3.5" customHeight="1">
      <c r="A9" s="47" t="s">
        <v>9</v>
      </c>
      <c r="B9" s="47" t="s">
        <v>85</v>
      </c>
      <c r="C9" s="47" t="s">
        <v>86</v>
      </c>
      <c r="D9" s="48"/>
      <c r="E9" s="49" t="s">
        <v>87</v>
      </c>
      <c r="F9" s="50" t="s">
        <v>88</v>
      </c>
      <c r="G9" s="50" t="s">
        <v>12</v>
      </c>
      <c r="H9" s="47" t="s">
        <v>13</v>
      </c>
      <c r="I9" s="51"/>
      <c r="J9" s="50" t="s">
        <v>89</v>
      </c>
      <c r="K9" s="50" t="s">
        <v>88</v>
      </c>
      <c r="L9" s="50" t="s">
        <v>12</v>
      </c>
      <c r="M9" s="50" t="s">
        <v>13</v>
      </c>
      <c r="N9" s="52"/>
      <c r="O9" s="50" t="s">
        <v>90</v>
      </c>
      <c r="P9" s="50" t="s">
        <v>91</v>
      </c>
      <c r="Q9" s="50" t="s">
        <v>92</v>
      </c>
      <c r="R9" s="52"/>
      <c r="S9" s="52"/>
      <c r="T9" s="52"/>
      <c r="U9" s="52"/>
      <c r="V9" s="52"/>
      <c r="W9" s="52"/>
      <c r="X9" s="52"/>
      <c r="Y9" s="52"/>
      <c r="Z9" s="52"/>
    </row>
    <row r="10" spans="1:26" ht="18" customHeight="1">
      <c r="A10" s="53">
        <v>1</v>
      </c>
      <c r="B10" s="53" t="s">
        <v>93</v>
      </c>
      <c r="C10" s="54">
        <v>950</v>
      </c>
      <c r="D10" s="55"/>
      <c r="E10" s="437">
        <v>70</v>
      </c>
      <c r="F10" s="56">
        <v>5</v>
      </c>
      <c r="G10" s="57">
        <v>0.5</v>
      </c>
      <c r="H10" s="58">
        <v>525</v>
      </c>
      <c r="I10" s="59"/>
      <c r="J10" s="437">
        <v>70</v>
      </c>
      <c r="K10" s="53">
        <v>5</v>
      </c>
      <c r="L10" s="60">
        <v>0.5</v>
      </c>
      <c r="M10" s="58">
        <v>525</v>
      </c>
      <c r="N10" s="39"/>
      <c r="O10" s="437">
        <v>680</v>
      </c>
      <c r="P10" s="57">
        <v>0.5</v>
      </c>
      <c r="Q10" s="61">
        <f>SUM(O10*P10)+O10</f>
        <v>1020</v>
      </c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8" customHeight="1">
      <c r="A11" s="62">
        <v>2</v>
      </c>
      <c r="B11" s="62" t="s">
        <v>67</v>
      </c>
      <c r="C11" s="63">
        <v>950</v>
      </c>
      <c r="D11" s="55"/>
      <c r="E11" s="184"/>
      <c r="F11" s="62">
        <v>5</v>
      </c>
      <c r="G11" s="64">
        <v>0.25</v>
      </c>
      <c r="H11" s="65">
        <f>(E10*G11)+E10*F11</f>
        <v>367.5</v>
      </c>
      <c r="I11" s="59"/>
      <c r="J11" s="184"/>
      <c r="K11" s="62">
        <v>5</v>
      </c>
      <c r="L11" s="64"/>
      <c r="M11" s="65">
        <f>(J10*L11)+J10*K11</f>
        <v>350</v>
      </c>
      <c r="N11" s="39"/>
      <c r="O11" s="184"/>
      <c r="P11" s="64"/>
      <c r="Q11" s="63">
        <f>SUM(O10*P11)+O10</f>
        <v>680</v>
      </c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3.5" customHeight="1">
      <c r="A12" s="438" t="s">
        <v>94</v>
      </c>
      <c r="B12" s="166"/>
      <c r="C12" s="66">
        <f>SUM(C9:C11)</f>
        <v>1900</v>
      </c>
      <c r="D12" s="39"/>
      <c r="E12" s="438" t="s">
        <v>95</v>
      </c>
      <c r="F12" s="169"/>
      <c r="G12" s="166"/>
      <c r="H12" s="66">
        <f>SUM(H10:H11)</f>
        <v>892.5</v>
      </c>
      <c r="I12" s="39"/>
      <c r="J12" s="438" t="s">
        <v>96</v>
      </c>
      <c r="K12" s="169"/>
      <c r="L12" s="166"/>
      <c r="M12" s="66">
        <f>SUM(M9:M11)</f>
        <v>875</v>
      </c>
      <c r="N12" s="39"/>
      <c r="O12" s="438" t="s">
        <v>97</v>
      </c>
      <c r="P12" s="166"/>
      <c r="Q12" s="66">
        <f>SUM(Q9:Q11)</f>
        <v>1700</v>
      </c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3.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3.5" customHeight="1">
      <c r="A14" s="39"/>
      <c r="B14" s="39"/>
      <c r="C14" s="39"/>
      <c r="D14" s="39"/>
      <c r="E14" s="444" t="s">
        <v>98</v>
      </c>
      <c r="F14" s="161"/>
      <c r="G14" s="161"/>
      <c r="H14" s="161"/>
      <c r="I14" s="39"/>
      <c r="J14" s="39"/>
      <c r="K14" s="39"/>
      <c r="L14" s="39"/>
      <c r="M14" s="39"/>
      <c r="N14" s="39"/>
      <c r="O14" s="444" t="s">
        <v>99</v>
      </c>
      <c r="P14" s="161"/>
      <c r="Q14" s="161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3.5" customHeight="1">
      <c r="A15" s="39"/>
      <c r="B15" s="39"/>
      <c r="C15" s="39"/>
      <c r="D15" s="39"/>
      <c r="E15" s="161"/>
      <c r="F15" s="161"/>
      <c r="G15" s="161"/>
      <c r="H15" s="161"/>
      <c r="I15" s="39"/>
      <c r="J15" s="39"/>
      <c r="K15" s="39"/>
      <c r="L15" s="39"/>
      <c r="M15" s="39"/>
      <c r="N15" s="39"/>
      <c r="O15" s="161"/>
      <c r="P15" s="161"/>
      <c r="Q15" s="161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24.75" customHeight="1">
      <c r="A16" s="67"/>
      <c r="B16" s="67"/>
      <c r="C16" s="67"/>
      <c r="D16" s="67"/>
      <c r="E16" s="39"/>
      <c r="F16" s="39"/>
      <c r="G16" s="42"/>
      <c r="H16" s="42"/>
      <c r="I16" s="42"/>
      <c r="J16" s="39"/>
      <c r="K16" s="39"/>
      <c r="L16" s="39"/>
      <c r="M16" s="39"/>
      <c r="N16" s="39"/>
      <c r="O16" s="161"/>
      <c r="P16" s="161"/>
      <c r="Q16" s="161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3.5" customHeight="1">
      <c r="A17" s="67"/>
      <c r="B17" s="67"/>
      <c r="C17" s="67"/>
      <c r="D17" s="67"/>
      <c r="E17" s="39"/>
      <c r="F17" s="39"/>
      <c r="G17" s="42"/>
      <c r="H17" s="42"/>
      <c r="I17" s="42"/>
      <c r="J17" s="39"/>
      <c r="K17" s="39"/>
      <c r="L17" s="39"/>
      <c r="M17" s="39"/>
      <c r="N17" s="39"/>
      <c r="O17" s="68"/>
      <c r="P17" s="68"/>
      <c r="Q17" s="68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3.5" customHeight="1">
      <c r="A18" s="67"/>
      <c r="B18" s="67"/>
      <c r="C18" s="67"/>
      <c r="D18" s="67"/>
      <c r="E18" s="39"/>
      <c r="F18" s="39"/>
      <c r="G18" s="42"/>
      <c r="H18" s="42"/>
      <c r="I18" s="42"/>
      <c r="J18" s="39"/>
      <c r="K18" s="39"/>
      <c r="L18" s="39"/>
      <c r="M18" s="39"/>
      <c r="N18" s="39"/>
      <c r="O18" s="68"/>
      <c r="P18" s="68"/>
      <c r="Q18" s="68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51" customHeight="1">
      <c r="A19" s="445" t="s">
        <v>100</v>
      </c>
      <c r="B19" s="169"/>
      <c r="C19" s="169"/>
      <c r="D19" s="169"/>
      <c r="E19" s="169"/>
      <c r="F19" s="166"/>
      <c r="G19" s="45"/>
      <c r="H19" s="45"/>
      <c r="I19" s="45"/>
      <c r="J19" s="446" t="s">
        <v>101</v>
      </c>
      <c r="K19" s="166"/>
      <c r="L19" s="69" t="s">
        <v>10</v>
      </c>
      <c r="M19" s="69" t="s">
        <v>13</v>
      </c>
      <c r="N19" s="39"/>
      <c r="O19" s="68"/>
      <c r="P19" s="68"/>
      <c r="Q19" s="68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8" customHeight="1">
      <c r="A20" s="70" t="s">
        <v>9</v>
      </c>
      <c r="B20" s="70" t="s">
        <v>85</v>
      </c>
      <c r="C20" s="70" t="s">
        <v>102</v>
      </c>
      <c r="D20" s="70" t="s">
        <v>64</v>
      </c>
      <c r="E20" s="70" t="s">
        <v>13</v>
      </c>
      <c r="F20" s="70" t="s">
        <v>103</v>
      </c>
      <c r="G20" s="71"/>
      <c r="H20" s="71"/>
      <c r="I20" s="72"/>
      <c r="J20" s="447">
        <v>665</v>
      </c>
      <c r="K20" s="257"/>
      <c r="L20" s="56" t="s">
        <v>104</v>
      </c>
      <c r="M20" s="73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8" customHeight="1">
      <c r="A21" s="56">
        <v>1</v>
      </c>
      <c r="B21" s="56" t="str">
        <f t="shared" ref="B21:B22" si="0">B10</f>
        <v>JEAN</v>
      </c>
      <c r="C21" s="56">
        <v>50</v>
      </c>
      <c r="D21" s="61">
        <v>54</v>
      </c>
      <c r="E21" s="61">
        <f t="shared" ref="E21:E22" si="1">D21*C21</f>
        <v>2700</v>
      </c>
      <c r="F21" s="56"/>
      <c r="G21" s="74"/>
      <c r="H21" s="75"/>
      <c r="I21" s="75"/>
      <c r="J21" s="261"/>
      <c r="K21" s="249"/>
      <c r="L21" s="56" t="s">
        <v>105</v>
      </c>
      <c r="M21" s="73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8" customHeight="1">
      <c r="A22" s="62">
        <v>2</v>
      </c>
      <c r="B22" s="62" t="str">
        <f t="shared" si="0"/>
        <v>TOP</v>
      </c>
      <c r="C22" s="62">
        <v>50</v>
      </c>
      <c r="D22" s="63">
        <v>27</v>
      </c>
      <c r="E22" s="63">
        <f t="shared" si="1"/>
        <v>1350</v>
      </c>
      <c r="F22" s="62"/>
      <c r="G22" s="74"/>
      <c r="H22" s="75"/>
      <c r="I22" s="75"/>
      <c r="J22" s="239"/>
      <c r="K22" s="255"/>
      <c r="L22" s="56"/>
      <c r="M22" s="56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3.5" customHeight="1">
      <c r="A23" s="443" t="s">
        <v>106</v>
      </c>
      <c r="B23" s="254"/>
      <c r="C23" s="254"/>
      <c r="D23" s="240"/>
      <c r="E23" s="76">
        <f>SUM(E21:E22)</f>
        <v>4050</v>
      </c>
      <c r="F23" s="77"/>
      <c r="G23" s="78"/>
      <c r="H23" s="79"/>
      <c r="I23" s="79"/>
      <c r="J23" s="438" t="s">
        <v>107</v>
      </c>
      <c r="K23" s="169"/>
      <c r="L23" s="166"/>
      <c r="M23" s="80">
        <f>SUM(M20:M22)</f>
        <v>0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5" customHeight="1">
      <c r="A24" s="39"/>
      <c r="B24" s="39"/>
      <c r="C24" s="39"/>
      <c r="D24" s="39"/>
      <c r="E24" s="81"/>
      <c r="F24" s="79"/>
      <c r="G24" s="79"/>
      <c r="H24" s="82"/>
      <c r="I24" s="7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5" customHeight="1">
      <c r="A25" s="39"/>
      <c r="B25" s="39"/>
      <c r="C25" s="39"/>
      <c r="D25" s="39"/>
      <c r="E25" s="39"/>
      <c r="F25" s="39"/>
      <c r="G25" s="82"/>
      <c r="H25" s="82"/>
      <c r="I25" s="82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30" customHeight="1">
      <c r="A26" s="439" t="s">
        <v>108</v>
      </c>
      <c r="B26" s="169"/>
      <c r="C26" s="166"/>
      <c r="D26" s="39"/>
      <c r="E26" s="39"/>
      <c r="F26" s="39"/>
      <c r="G26" s="82"/>
      <c r="H26" s="82"/>
      <c r="I26" s="82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5" customHeight="1">
      <c r="A27" s="440" t="s">
        <v>81</v>
      </c>
      <c r="B27" s="169"/>
      <c r="C27" s="166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5" customHeight="1">
      <c r="A28" s="441" t="s">
        <v>94</v>
      </c>
      <c r="B28" s="161"/>
      <c r="C28" s="83">
        <f>C12</f>
        <v>1900</v>
      </c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5" customHeight="1">
      <c r="A29" s="441" t="s">
        <v>95</v>
      </c>
      <c r="B29" s="161"/>
      <c r="C29" s="83">
        <f>H12</f>
        <v>892.5</v>
      </c>
      <c r="D29" s="442" t="s">
        <v>109</v>
      </c>
      <c r="E29" s="161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5" customHeight="1">
      <c r="A30" s="441" t="s">
        <v>110</v>
      </c>
      <c r="B30" s="161"/>
      <c r="C30" s="83">
        <f>M12</f>
        <v>875</v>
      </c>
      <c r="D30" s="442" t="s">
        <v>109</v>
      </c>
      <c r="E30" s="161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5" customHeight="1">
      <c r="A31" s="441" t="s">
        <v>97</v>
      </c>
      <c r="B31" s="161"/>
      <c r="C31" s="83">
        <f>Q12</f>
        <v>1700</v>
      </c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5" customHeight="1">
      <c r="A32" s="441" t="s">
        <v>101</v>
      </c>
      <c r="B32" s="161"/>
      <c r="C32" s="83">
        <f>M23</f>
        <v>0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5" customHeight="1">
      <c r="A33" s="449" t="s">
        <v>111</v>
      </c>
      <c r="B33" s="161"/>
      <c r="C33" s="84">
        <f>SUM(C28:C32)</f>
        <v>5367.5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5" customHeight="1">
      <c r="A34" s="451"/>
      <c r="B34" s="254"/>
      <c r="C34" s="255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5" customHeight="1">
      <c r="A35" s="452" t="s">
        <v>112</v>
      </c>
      <c r="B35" s="169"/>
      <c r="C35" s="166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5" customHeight="1">
      <c r="A36" s="441" t="s">
        <v>113</v>
      </c>
      <c r="B36" s="161"/>
      <c r="C36" s="83">
        <f>E23/2</f>
        <v>2025</v>
      </c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5" customHeight="1">
      <c r="A37" s="441" t="s">
        <v>114</v>
      </c>
      <c r="B37" s="161"/>
      <c r="C37" s="83">
        <f>C36</f>
        <v>2025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5" customHeight="1">
      <c r="A38" s="448"/>
      <c r="B38" s="161"/>
      <c r="C38" s="24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5" customHeight="1">
      <c r="A39" s="449" t="s">
        <v>25</v>
      </c>
      <c r="B39" s="161"/>
      <c r="C39" s="85">
        <f>C36+C33</f>
        <v>7392.5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5" customHeight="1">
      <c r="A40" s="448"/>
      <c r="B40" s="161"/>
      <c r="C40" s="24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5" customHeight="1">
      <c r="A41" s="450" t="s">
        <v>115</v>
      </c>
      <c r="B41" s="254"/>
      <c r="C41" s="86">
        <f>+C37+C39</f>
        <v>9417.5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5" customHeight="1">
      <c r="A45" s="39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5" customHeight="1">
      <c r="A46" s="39"/>
      <c r="B46" s="82"/>
      <c r="C46" s="42"/>
      <c r="D46" s="42"/>
      <c r="E46" s="42"/>
      <c r="F46" s="42"/>
      <c r="G46" s="42"/>
      <c r="H46" s="42"/>
      <c r="I46" s="42"/>
      <c r="J46" s="42"/>
      <c r="K46" s="42"/>
      <c r="L46" s="82"/>
      <c r="M46" s="82"/>
      <c r="N46" s="42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5" customHeight="1">
      <c r="A47" s="39"/>
      <c r="B47" s="88"/>
      <c r="C47" s="88"/>
      <c r="D47" s="89"/>
      <c r="E47" s="90"/>
      <c r="F47" s="89"/>
      <c r="G47" s="89"/>
      <c r="H47" s="89"/>
      <c r="I47" s="89"/>
      <c r="J47" s="89"/>
      <c r="K47" s="89"/>
      <c r="L47" s="87"/>
      <c r="M47" s="87"/>
      <c r="N47" s="8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5" customHeight="1">
      <c r="A48" s="39"/>
      <c r="B48" s="88"/>
      <c r="C48" s="88"/>
      <c r="D48" s="89"/>
      <c r="E48" s="90"/>
      <c r="F48" s="89"/>
      <c r="G48" s="89"/>
      <c r="H48" s="89"/>
      <c r="I48" s="89"/>
      <c r="J48" s="89"/>
      <c r="K48" s="89"/>
      <c r="L48" s="87"/>
      <c r="M48" s="87"/>
      <c r="N48" s="8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5" customHeight="1">
      <c r="A49" s="39"/>
      <c r="B49" s="88"/>
      <c r="C49" s="88"/>
      <c r="D49" s="89"/>
      <c r="E49" s="88"/>
      <c r="F49" s="89"/>
      <c r="G49" s="88"/>
      <c r="H49" s="88"/>
      <c r="I49" s="89"/>
      <c r="J49" s="88"/>
      <c r="K49" s="89"/>
      <c r="L49" s="87"/>
      <c r="M49" s="87"/>
      <c r="N49" s="8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5" customHeight="1">
      <c r="A50" s="39"/>
      <c r="B50" s="88"/>
      <c r="C50" s="88"/>
      <c r="D50" s="89"/>
      <c r="E50" s="88"/>
      <c r="F50" s="89"/>
      <c r="G50" s="88"/>
      <c r="H50" s="88"/>
      <c r="I50" s="89"/>
      <c r="J50" s="88"/>
      <c r="K50" s="89"/>
      <c r="L50" s="87"/>
      <c r="M50" s="87"/>
      <c r="N50" s="8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5" customHeight="1">
      <c r="A51" s="39"/>
      <c r="B51" s="88"/>
      <c r="C51" s="88"/>
      <c r="D51" s="89"/>
      <c r="E51" s="88"/>
      <c r="F51" s="89"/>
      <c r="G51" s="88"/>
      <c r="H51" s="88"/>
      <c r="I51" s="88"/>
      <c r="J51" s="88"/>
      <c r="K51" s="89"/>
      <c r="L51" s="91"/>
      <c r="M51" s="91"/>
      <c r="N51" s="92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5" customHeight="1">
      <c r="A52" s="39"/>
      <c r="B52" s="88"/>
      <c r="C52" s="88"/>
      <c r="D52" s="89"/>
      <c r="E52" s="88"/>
      <c r="F52" s="89"/>
      <c r="G52" s="88"/>
      <c r="H52" s="88"/>
      <c r="I52" s="88"/>
      <c r="J52" s="88"/>
      <c r="K52" s="89"/>
      <c r="L52" s="91"/>
      <c r="M52" s="91"/>
      <c r="N52" s="92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5" customHeight="1">
      <c r="A53" s="39"/>
      <c r="B53" s="87"/>
      <c r="C53" s="87"/>
      <c r="D53" s="87"/>
      <c r="E53" s="87"/>
      <c r="F53" s="93"/>
      <c r="G53" s="87"/>
      <c r="H53" s="87"/>
      <c r="I53" s="87"/>
      <c r="J53" s="87"/>
      <c r="K53" s="93"/>
      <c r="L53" s="87"/>
      <c r="M53" s="87"/>
      <c r="N53" s="93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5" customHeight="1">
      <c r="A54" s="3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5" customHeight="1">
      <c r="A55" s="39"/>
      <c r="B55" s="87"/>
      <c r="C55" s="87"/>
      <c r="D55" s="42"/>
      <c r="E55" s="87"/>
      <c r="F55" s="87"/>
      <c r="G55" s="87"/>
      <c r="H55" s="87"/>
      <c r="I55" s="42"/>
      <c r="J55" s="87"/>
      <c r="K55" s="87"/>
      <c r="L55" s="87"/>
      <c r="M55" s="87"/>
      <c r="N55" s="87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5" customHeight="1">
      <c r="A56" s="39"/>
      <c r="B56" s="87"/>
      <c r="C56" s="87"/>
      <c r="D56" s="94"/>
      <c r="E56" s="95"/>
      <c r="F56" s="95"/>
      <c r="G56" s="87"/>
      <c r="H56" s="87"/>
      <c r="I56" s="88"/>
      <c r="J56" s="95"/>
      <c r="K56" s="95"/>
      <c r="L56" s="95"/>
      <c r="M56" s="95"/>
      <c r="N56" s="95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5" customHeight="1">
      <c r="A57" s="39"/>
      <c r="B57" s="87"/>
      <c r="C57" s="87"/>
      <c r="D57" s="94"/>
      <c r="E57" s="95"/>
      <c r="F57" s="95"/>
      <c r="G57" s="87"/>
      <c r="H57" s="87"/>
      <c r="I57" s="88"/>
      <c r="J57" s="95"/>
      <c r="K57" s="95"/>
      <c r="L57" s="95"/>
      <c r="M57" s="95"/>
      <c r="N57" s="95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5" customHeight="1">
      <c r="A58" s="39"/>
      <c r="B58" s="87"/>
      <c r="C58" s="87"/>
      <c r="D58" s="88"/>
      <c r="E58" s="95"/>
      <c r="F58" s="95"/>
      <c r="G58" s="87"/>
      <c r="H58" s="87"/>
      <c r="I58" s="88"/>
      <c r="J58" s="95"/>
      <c r="K58" s="95"/>
      <c r="L58" s="95"/>
      <c r="M58" s="95"/>
      <c r="N58" s="95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5" customHeight="1">
      <c r="A59" s="39"/>
      <c r="B59" s="87"/>
      <c r="C59" s="87"/>
      <c r="D59" s="88"/>
      <c r="E59" s="95"/>
      <c r="F59" s="95"/>
      <c r="G59" s="87"/>
      <c r="H59" s="87"/>
      <c r="I59" s="88"/>
      <c r="J59" s="95"/>
      <c r="K59" s="95"/>
      <c r="L59" s="95"/>
      <c r="M59" s="95"/>
      <c r="N59" s="95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5" customHeight="1">
      <c r="A60" s="39"/>
      <c r="B60" s="87"/>
      <c r="C60" s="87"/>
      <c r="D60" s="88"/>
      <c r="E60" s="95"/>
      <c r="F60" s="95"/>
      <c r="G60" s="87"/>
      <c r="H60" s="87"/>
      <c r="I60" s="88"/>
      <c r="J60" s="95"/>
      <c r="K60" s="95"/>
      <c r="L60" s="95"/>
      <c r="M60" s="95"/>
      <c r="N60" s="95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5" customHeight="1">
      <c r="A61" s="39"/>
      <c r="B61" s="87"/>
      <c r="C61" s="87"/>
      <c r="D61" s="88"/>
      <c r="E61" s="95"/>
      <c r="F61" s="95"/>
      <c r="G61" s="87"/>
      <c r="H61" s="87"/>
      <c r="I61" s="88"/>
      <c r="J61" s="95"/>
      <c r="K61" s="95"/>
      <c r="L61" s="95"/>
      <c r="M61" s="95"/>
      <c r="N61" s="95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5" customHeight="1">
      <c r="A62" s="39"/>
      <c r="B62" s="87"/>
      <c r="C62" s="87"/>
      <c r="D62" s="88"/>
      <c r="E62" s="95"/>
      <c r="F62" s="95"/>
      <c r="G62" s="87"/>
      <c r="H62" s="87"/>
      <c r="I62" s="88"/>
      <c r="J62" s="95"/>
      <c r="K62" s="95"/>
      <c r="L62" s="95"/>
      <c r="M62" s="95"/>
      <c r="N62" s="95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5" customHeight="1">
      <c r="A63" s="39"/>
      <c r="B63" s="87"/>
      <c r="C63" s="87"/>
      <c r="D63" s="88"/>
      <c r="E63" s="95"/>
      <c r="F63" s="95"/>
      <c r="G63" s="87"/>
      <c r="H63" s="87"/>
      <c r="I63" s="88"/>
      <c r="J63" s="95"/>
      <c r="K63" s="95"/>
      <c r="L63" s="95"/>
      <c r="M63" s="95"/>
      <c r="N63" s="95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5" customHeight="1">
      <c r="A64" s="39"/>
      <c r="B64" s="87"/>
      <c r="C64" s="87"/>
      <c r="D64" s="88"/>
      <c r="E64" s="95"/>
      <c r="F64" s="95"/>
      <c r="G64" s="87"/>
      <c r="H64" s="87"/>
      <c r="I64" s="88"/>
      <c r="J64" s="95"/>
      <c r="K64" s="95"/>
      <c r="L64" s="95"/>
      <c r="M64" s="95"/>
      <c r="N64" s="95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5" customHeight="1">
      <c r="A65" s="39"/>
      <c r="B65" s="87"/>
      <c r="C65" s="87"/>
      <c r="D65" s="88"/>
      <c r="E65" s="95"/>
      <c r="F65" s="95"/>
      <c r="G65" s="87"/>
      <c r="H65" s="87"/>
      <c r="I65" s="88"/>
      <c r="J65" s="95"/>
      <c r="K65" s="95"/>
      <c r="L65" s="95"/>
      <c r="M65" s="95"/>
      <c r="N65" s="95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3.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60" t="s">
        <v>0</v>
      </c>
      <c r="C3" s="161"/>
      <c r="D3" s="161"/>
      <c r="E3" s="161"/>
      <c r="F3" s="161"/>
      <c r="G3" s="161"/>
      <c r="H3" s="161"/>
      <c r="I3" s="161"/>
      <c r="J3" s="161"/>
      <c r="K3" s="356" t="s">
        <v>40</v>
      </c>
      <c r="L3" s="161"/>
      <c r="M3" s="161"/>
      <c r="N3" s="161"/>
      <c r="O3" s="161"/>
      <c r="P3" s="161"/>
      <c r="Q3" s="161"/>
      <c r="R3" s="16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63" t="s">
        <v>2</v>
      </c>
      <c r="C6" s="164"/>
      <c r="D6" s="165"/>
      <c r="E6" s="166"/>
      <c r="F6" s="25"/>
      <c r="G6" s="28"/>
      <c r="H6" s="3"/>
      <c r="I6" s="3"/>
      <c r="J6" s="163" t="s">
        <v>3</v>
      </c>
      <c r="K6" s="164"/>
      <c r="L6" s="167" t="s">
        <v>41</v>
      </c>
      <c r="M6" s="166"/>
      <c r="N6" s="3"/>
      <c r="O6" s="3"/>
      <c r="P6" s="3"/>
      <c r="Q6" s="4" t="s">
        <v>5</v>
      </c>
      <c r="R6" s="5">
        <f ca="1">TODAY()</f>
        <v>46050</v>
      </c>
      <c r="S6" s="182"/>
      <c r="T6" s="161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64" t="s">
        <v>116</v>
      </c>
      <c r="C8" s="187"/>
      <c r="D8" s="187"/>
      <c r="E8" s="187"/>
      <c r="F8" s="187"/>
      <c r="G8" s="187"/>
      <c r="H8" s="188"/>
      <c r="I8" s="6"/>
      <c r="J8" s="465" t="s">
        <v>117</v>
      </c>
      <c r="K8" s="187"/>
      <c r="L8" s="187"/>
      <c r="M8" s="187"/>
      <c r="N8" s="188"/>
      <c r="O8" s="6"/>
      <c r="P8" s="360" t="s">
        <v>8</v>
      </c>
      <c r="Q8" s="187"/>
      <c r="R8" s="188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6" t="s">
        <v>9</v>
      </c>
      <c r="C9" s="97" t="s">
        <v>10</v>
      </c>
      <c r="D9" s="97" t="s">
        <v>118</v>
      </c>
      <c r="E9" s="98" t="s">
        <v>85</v>
      </c>
      <c r="F9" s="97" t="s">
        <v>119</v>
      </c>
      <c r="G9" s="97" t="s">
        <v>120</v>
      </c>
      <c r="H9" s="99" t="s">
        <v>13</v>
      </c>
      <c r="I9" s="10"/>
      <c r="J9" s="100" t="s">
        <v>121</v>
      </c>
      <c r="K9" s="97" t="s">
        <v>90</v>
      </c>
      <c r="L9" s="97" t="s">
        <v>122</v>
      </c>
      <c r="M9" s="97" t="s">
        <v>123</v>
      </c>
      <c r="N9" s="99" t="s">
        <v>13</v>
      </c>
      <c r="O9" s="10"/>
      <c r="P9" s="101"/>
      <c r="Q9" s="102"/>
      <c r="R9" s="103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66">
        <v>1</v>
      </c>
      <c r="C10" s="355" t="s">
        <v>124</v>
      </c>
      <c r="D10" s="457" t="s">
        <v>125</v>
      </c>
      <c r="E10" s="467" t="s">
        <v>126</v>
      </c>
      <c r="F10" s="457">
        <v>77</v>
      </c>
      <c r="G10" s="355">
        <v>100</v>
      </c>
      <c r="H10" s="453">
        <f>G10*F10</f>
        <v>7700</v>
      </c>
      <c r="I10" s="12"/>
      <c r="J10" s="455">
        <v>425</v>
      </c>
      <c r="K10" s="457">
        <v>650</v>
      </c>
      <c r="L10" s="457">
        <v>950</v>
      </c>
      <c r="M10" s="457">
        <v>650</v>
      </c>
      <c r="N10" s="453">
        <f>SUM(J10:M10)</f>
        <v>2675</v>
      </c>
      <c r="O10" s="12"/>
      <c r="P10" s="458" t="s">
        <v>127</v>
      </c>
      <c r="Q10" s="349"/>
      <c r="R10" s="459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56"/>
      <c r="C11" s="237"/>
      <c r="D11" s="237"/>
      <c r="E11" s="250"/>
      <c r="F11" s="237"/>
      <c r="G11" s="237"/>
      <c r="H11" s="454"/>
      <c r="I11" s="12"/>
      <c r="J11" s="456"/>
      <c r="K11" s="237"/>
      <c r="L11" s="237"/>
      <c r="M11" s="237"/>
      <c r="N11" s="454"/>
      <c r="O11" s="12"/>
      <c r="P11" s="261"/>
      <c r="Q11" s="161"/>
      <c r="R11" s="460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70">
        <v>2</v>
      </c>
      <c r="C12" s="241" t="s">
        <v>128</v>
      </c>
      <c r="D12" s="469" t="s">
        <v>125</v>
      </c>
      <c r="E12" s="471" t="s">
        <v>129</v>
      </c>
      <c r="F12" s="469">
        <v>59</v>
      </c>
      <c r="G12" s="241">
        <v>100</v>
      </c>
      <c r="H12" s="463">
        <f>G12*F12</f>
        <v>5900</v>
      </c>
      <c r="I12" s="12"/>
      <c r="J12" s="468">
        <v>425</v>
      </c>
      <c r="K12" s="469">
        <v>650</v>
      </c>
      <c r="L12" s="469">
        <v>950</v>
      </c>
      <c r="M12" s="462"/>
      <c r="N12" s="463">
        <f>SUM(J12:M13)</f>
        <v>2025</v>
      </c>
      <c r="O12" s="12"/>
      <c r="P12" s="261"/>
      <c r="Q12" s="161"/>
      <c r="R12" s="460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56"/>
      <c r="C13" s="237"/>
      <c r="D13" s="237"/>
      <c r="E13" s="472"/>
      <c r="F13" s="237"/>
      <c r="G13" s="237"/>
      <c r="H13" s="454"/>
      <c r="I13" s="12"/>
      <c r="J13" s="456"/>
      <c r="K13" s="237"/>
      <c r="L13" s="237"/>
      <c r="M13" s="237"/>
      <c r="N13" s="454"/>
      <c r="O13" s="12"/>
      <c r="P13" s="234"/>
      <c r="Q13" s="350"/>
      <c r="R13" s="46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66">
        <v>3</v>
      </c>
      <c r="C14" s="355" t="s">
        <v>130</v>
      </c>
      <c r="D14" s="457" t="s">
        <v>131</v>
      </c>
      <c r="E14" s="467" t="s">
        <v>132</v>
      </c>
      <c r="F14" s="457">
        <v>51</v>
      </c>
      <c r="G14" s="355">
        <v>100</v>
      </c>
      <c r="H14" s="453">
        <f>G14*F14</f>
        <v>5100</v>
      </c>
      <c r="I14" s="12"/>
      <c r="J14" s="455">
        <v>425</v>
      </c>
      <c r="K14" s="457">
        <v>650</v>
      </c>
      <c r="L14" s="457">
        <v>950</v>
      </c>
      <c r="M14" s="462"/>
      <c r="N14" s="453">
        <f>SUM(J14:M15)</f>
        <v>2025</v>
      </c>
      <c r="O14" s="12"/>
      <c r="P14" s="458" t="s">
        <v>133</v>
      </c>
      <c r="Q14" s="233"/>
      <c r="R14" s="487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56"/>
      <c r="C15" s="237"/>
      <c r="D15" s="237"/>
      <c r="E15" s="250"/>
      <c r="F15" s="237"/>
      <c r="G15" s="237"/>
      <c r="H15" s="454"/>
      <c r="I15" s="12"/>
      <c r="J15" s="456"/>
      <c r="K15" s="237"/>
      <c r="L15" s="237"/>
      <c r="M15" s="237"/>
      <c r="N15" s="454"/>
      <c r="O15" s="12"/>
      <c r="P15" s="261"/>
      <c r="Q15" s="484"/>
      <c r="R15" s="488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70">
        <v>4</v>
      </c>
      <c r="C16" s="241" t="s">
        <v>134</v>
      </c>
      <c r="D16" s="469" t="s">
        <v>131</v>
      </c>
      <c r="E16" s="471" t="s">
        <v>135</v>
      </c>
      <c r="F16" s="469">
        <v>75</v>
      </c>
      <c r="G16" s="241">
        <v>100</v>
      </c>
      <c r="H16" s="463">
        <f>G16*F16</f>
        <v>7500</v>
      </c>
      <c r="I16" s="12"/>
      <c r="J16" s="468">
        <v>425</v>
      </c>
      <c r="K16" s="469">
        <v>650</v>
      </c>
      <c r="L16" s="469">
        <v>950</v>
      </c>
      <c r="M16" s="462"/>
      <c r="N16" s="463">
        <f>SUM(J16:M17)</f>
        <v>2025</v>
      </c>
      <c r="O16" s="12"/>
      <c r="P16" s="261"/>
      <c r="Q16" s="484"/>
      <c r="R16" s="488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56"/>
      <c r="C17" s="237"/>
      <c r="D17" s="237"/>
      <c r="E17" s="472"/>
      <c r="F17" s="237"/>
      <c r="G17" s="237"/>
      <c r="H17" s="454"/>
      <c r="I17" s="104"/>
      <c r="J17" s="456"/>
      <c r="K17" s="237"/>
      <c r="L17" s="237"/>
      <c r="M17" s="237"/>
      <c r="N17" s="454"/>
      <c r="O17" s="104"/>
      <c r="P17" s="234"/>
      <c r="Q17" s="235"/>
      <c r="R17" s="4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73" t="s">
        <v>127</v>
      </c>
      <c r="C18" s="474"/>
      <c r="D18" s="474"/>
      <c r="E18" s="474"/>
      <c r="F18" s="474"/>
      <c r="G18" s="475"/>
      <c r="H18" s="105">
        <f>SUM(H10:H17)</f>
        <v>26200</v>
      </c>
      <c r="I18" s="13"/>
      <c r="J18" s="489" t="s">
        <v>136</v>
      </c>
      <c r="K18" s="254"/>
      <c r="L18" s="254"/>
      <c r="M18" s="254"/>
      <c r="N18" s="106">
        <f>SUM(N10:N17)</f>
        <v>8750</v>
      </c>
      <c r="O18" s="13"/>
      <c r="P18" s="485" t="s">
        <v>25</v>
      </c>
      <c r="Q18" s="486"/>
      <c r="R18" s="107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76" t="s">
        <v>26</v>
      </c>
      <c r="C20" s="477"/>
      <c r="D20" s="244"/>
      <c r="E20" s="23" t="s">
        <v>9</v>
      </c>
      <c r="F20" s="478"/>
      <c r="G20" s="477"/>
      <c r="H20" s="244"/>
      <c r="I20" s="6"/>
      <c r="J20" s="465" t="s">
        <v>26</v>
      </c>
      <c r="K20" s="188"/>
      <c r="L20" s="32" t="s">
        <v>9</v>
      </c>
      <c r="M20" s="465" t="s">
        <v>27</v>
      </c>
      <c r="N20" s="188"/>
      <c r="O20" s="6"/>
      <c r="P20" s="360" t="s">
        <v>28</v>
      </c>
      <c r="Q20" s="187"/>
      <c r="R20" s="188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79" t="s">
        <v>137</v>
      </c>
      <c r="C21" s="349"/>
      <c r="D21" s="233"/>
      <c r="E21" s="245">
        <f>COUNT(B10:B17)</f>
        <v>4</v>
      </c>
      <c r="F21" s="481" t="s">
        <v>138</v>
      </c>
      <c r="G21" s="349"/>
      <c r="H21" s="247"/>
      <c r="I21" s="19"/>
      <c r="J21" s="480" t="s">
        <v>139</v>
      </c>
      <c r="K21" s="233"/>
      <c r="L21" s="241">
        <f>COUNT(J10:J16)</f>
        <v>4</v>
      </c>
      <c r="M21" s="490" t="s">
        <v>140</v>
      </c>
      <c r="N21" s="247"/>
      <c r="O21" s="19"/>
      <c r="P21" s="361"/>
      <c r="Q21" s="349"/>
      <c r="R21" s="24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34"/>
      <c r="C22" s="350"/>
      <c r="D22" s="235"/>
      <c r="E22" s="237"/>
      <c r="F22" s="482"/>
      <c r="G22" s="161"/>
      <c r="H22" s="249"/>
      <c r="I22" s="19"/>
      <c r="J22" s="234"/>
      <c r="K22" s="235"/>
      <c r="L22" s="237"/>
      <c r="M22" s="248"/>
      <c r="N22" s="249"/>
      <c r="O22" s="19"/>
      <c r="P22" s="234"/>
      <c r="Q22" s="350"/>
      <c r="R22" s="25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97" t="s">
        <v>141</v>
      </c>
      <c r="C23" s="349"/>
      <c r="D23" s="233"/>
      <c r="E23" s="236">
        <f>SUM(G10:G17)</f>
        <v>400</v>
      </c>
      <c r="F23" s="482"/>
      <c r="G23" s="161"/>
      <c r="H23" s="249"/>
      <c r="I23" s="19"/>
      <c r="J23" s="492" t="s">
        <v>142</v>
      </c>
      <c r="K23" s="233"/>
      <c r="L23" s="236">
        <f>COUNT(K10:K16)</f>
        <v>4</v>
      </c>
      <c r="M23" s="248"/>
      <c r="N23" s="249"/>
      <c r="O23" s="19"/>
      <c r="P23" s="348"/>
      <c r="Q23" s="349"/>
      <c r="R23" s="24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34"/>
      <c r="C24" s="350"/>
      <c r="D24" s="235"/>
      <c r="E24" s="237"/>
      <c r="F24" s="483"/>
      <c r="G24" s="350"/>
      <c r="H24" s="251"/>
      <c r="I24" s="19"/>
      <c r="J24" s="234"/>
      <c r="K24" s="235"/>
      <c r="L24" s="237"/>
      <c r="M24" s="250"/>
      <c r="N24" s="251"/>
      <c r="O24" s="19"/>
      <c r="P24" s="234"/>
      <c r="Q24" s="350"/>
      <c r="R24" s="25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98"/>
      <c r="C25" s="349"/>
      <c r="D25" s="233"/>
      <c r="E25" s="499"/>
      <c r="F25" s="500" t="s">
        <v>143</v>
      </c>
      <c r="G25" s="349"/>
      <c r="H25" s="247"/>
      <c r="I25" s="20"/>
      <c r="J25" s="480" t="s">
        <v>122</v>
      </c>
      <c r="K25" s="233"/>
      <c r="L25" s="241">
        <f>COUNT(L10:L16)</f>
        <v>4</v>
      </c>
      <c r="M25" s="491" t="s">
        <v>144</v>
      </c>
      <c r="N25" s="349"/>
      <c r="O25" s="20"/>
      <c r="P25" s="351"/>
      <c r="Q25" s="349"/>
      <c r="R25" s="24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34"/>
      <c r="C26" s="350"/>
      <c r="D26" s="235"/>
      <c r="E26" s="237"/>
      <c r="F26" s="482"/>
      <c r="G26" s="161"/>
      <c r="H26" s="249"/>
      <c r="I26" s="20"/>
      <c r="J26" s="234"/>
      <c r="K26" s="235"/>
      <c r="L26" s="237"/>
      <c r="M26" s="161"/>
      <c r="N26" s="161"/>
      <c r="O26" s="20"/>
      <c r="P26" s="234"/>
      <c r="Q26" s="350"/>
      <c r="R26" s="25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98"/>
      <c r="C27" s="349"/>
      <c r="D27" s="233"/>
      <c r="E27" s="462"/>
      <c r="F27" s="482"/>
      <c r="G27" s="161"/>
      <c r="H27" s="249"/>
      <c r="I27" s="20"/>
      <c r="J27" s="492" t="s">
        <v>145</v>
      </c>
      <c r="K27" s="233"/>
      <c r="L27" s="355">
        <f>COUNT(M10:M16)</f>
        <v>1</v>
      </c>
      <c r="M27" s="161"/>
      <c r="N27" s="161"/>
      <c r="O27" s="20"/>
      <c r="P27" s="352"/>
      <c r="Q27" s="349"/>
      <c r="R27" s="247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34"/>
      <c r="C28" s="350"/>
      <c r="D28" s="235"/>
      <c r="E28" s="237"/>
      <c r="F28" s="483"/>
      <c r="G28" s="350"/>
      <c r="H28" s="251"/>
      <c r="I28" s="34"/>
      <c r="J28" s="234"/>
      <c r="K28" s="235"/>
      <c r="L28" s="237"/>
      <c r="M28" s="161"/>
      <c r="N28" s="161"/>
      <c r="O28" s="20"/>
      <c r="P28" s="234"/>
      <c r="Q28" s="350"/>
      <c r="R28" s="25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98"/>
      <c r="C29" s="349"/>
      <c r="D29" s="233"/>
      <c r="E29" s="462"/>
      <c r="F29" s="493" t="s">
        <v>146</v>
      </c>
      <c r="G29" s="494"/>
      <c r="H29" s="495"/>
      <c r="I29" s="34"/>
      <c r="J29" s="480" t="s">
        <v>147</v>
      </c>
      <c r="K29" s="233"/>
      <c r="L29" s="241">
        <v>0</v>
      </c>
      <c r="M29" s="161"/>
      <c r="N29" s="161"/>
      <c r="O29" s="34"/>
      <c r="P29" s="351"/>
      <c r="Q29" s="349"/>
      <c r="R29" s="247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239"/>
      <c r="C30" s="254"/>
      <c r="D30" s="240"/>
      <c r="E30" s="242"/>
      <c r="F30" s="496"/>
      <c r="G30" s="254"/>
      <c r="H30" s="255"/>
      <c r="I30" s="34"/>
      <c r="J30" s="239"/>
      <c r="K30" s="240"/>
      <c r="L30" s="242"/>
      <c r="M30" s="254"/>
      <c r="N30" s="254"/>
      <c r="O30" s="34"/>
      <c r="P30" s="239"/>
      <c r="Q30" s="254"/>
      <c r="R30" s="255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59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2026-01-28T17:20:05Z</dcterms:modified>
</cp:coreProperties>
</file>