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7C9061BC-631A-44DC-B236-E95817C494CB}" xr6:coauthVersionLast="47" xr6:coauthVersionMax="47" xr10:uidLastSave="{00000000-0000-0000-0000-000000000000}"/>
  <bookViews>
    <workbookView xWindow="-24120" yWindow="-1200" windowWidth="24240" windowHeight="1329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D29" i="1" l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D31" i="1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L20" i="1" l="1"/>
  <c r="P12" i="1" s="1"/>
  <c r="F20" i="1"/>
  <c r="P10" i="1" s="1"/>
  <c r="R18" i="8"/>
  <c r="C37" i="7"/>
  <c r="P14" i="2"/>
  <c r="S14" i="4"/>
  <c r="C33" i="7"/>
  <c r="C39" i="7" s="1"/>
  <c r="U14" i="6"/>
  <c r="P20" i="1" l="1"/>
  <c r="C41" i="7"/>
</calcChain>
</file>

<file path=xl/sharedStrings.xml><?xml version="1.0" encoding="utf-8"?>
<sst xmlns="http://schemas.openxmlformats.org/spreadsheetml/2006/main" count="440" uniqueCount="162">
  <si>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</si>
  <si>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</si>
  <si>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</si>
  <si>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</si>
  <si>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</si>
  <si>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</si>
  <si>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</si>
  <si>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</si>
  <si>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</si>
  <si>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</si>
  <si>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</si>
  <si>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</si>
  <si>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</si>
  <si>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</si>
  <si>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</si>
  <si>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</si>
  <si>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</si>
  <si>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</si>
  <si>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</si>
  <si>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</si>
  <si>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</si>
  <si>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</si>
  <si>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</si>
  <si>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</si>
  <si>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</si>
  <si>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</si>
  <si>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</si>
  <si>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</si>
  <si>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</si>
  <si>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</si>
  <si>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</si>
  <si>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</si>
  <si>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</si>
  <si>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TREATMENT = EMBROIDERY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</si>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</sst>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0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0CFBB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</fills>
  <borders count="8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4" fillId="8" borderId="8" xfId="0" applyFont="1" applyFill="1" applyBorder="1" applyAlignment="1">
      <alignment horizontal="left" vertical="center"/>
    </xf>
    <xf numFmtId="0" fontId="5" fillId="0" borderId="9" xfId="0" applyFont="1" applyBorder="1"/>
    <xf numFmtId="0" fontId="5" fillId="0" borderId="11" xfId="0" applyFont="1" applyBorder="1"/>
    <xf numFmtId="0" fontId="5" fillId="0" borderId="12" xfId="0" applyFont="1" applyBorder="1"/>
    <xf numFmtId="164" fontId="8" fillId="19" borderId="7" xfId="0" applyNumberFormat="1" applyFont="1" applyFill="1" applyBorder="1" applyAlignment="1">
      <alignment horizontal="left" vertical="center"/>
    </xf>
    <xf numFmtId="0" fontId="5" fillId="18" borderId="10" xfId="0" applyFont="1" applyFill="1" applyBorder="1" applyAlignment="1">
      <alignment horizontal="left"/>
    </xf>
    <xf numFmtId="0" fontId="4" fillId="15" borderId="8" xfId="0" applyFont="1" applyFill="1" applyBorder="1" applyAlignment="1">
      <alignment horizontal="left" vertical="center"/>
    </xf>
    <xf numFmtId="0" fontId="5" fillId="16" borderId="9" xfId="0" applyFont="1" applyFill="1" applyBorder="1"/>
    <xf numFmtId="0" fontId="5" fillId="16" borderId="11" xfId="0" applyFont="1" applyFill="1" applyBorder="1"/>
    <xf numFmtId="0" fontId="5" fillId="16" borderId="12" xfId="0" applyFont="1" applyFill="1" applyBorder="1"/>
    <xf numFmtId="164" fontId="8" fillId="17" borderId="7" xfId="0" applyNumberFormat="1" applyFont="1" applyFill="1" applyBorder="1" applyAlignment="1">
      <alignment horizontal="left" vertical="center"/>
    </xf>
    <xf numFmtId="0" fontId="5" fillId="16" borderId="10" xfId="0" applyFont="1" applyFill="1" applyBorder="1"/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16" xfId="0" applyFont="1" applyBorder="1"/>
    <xf numFmtId="0" fontId="8" fillId="0" borderId="8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5" fillId="0" borderId="4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3" fontId="8" fillId="5" borderId="7" xfId="0" applyNumberFormat="1" applyFont="1" applyFill="1" applyBorder="1" applyAlignment="1">
      <alignment horizontal="center" vertical="center"/>
    </xf>
    <xf numFmtId="0" fontId="5" fillId="0" borderId="10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8" fillId="0" borderId="7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0" borderId="8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20" fillId="0" borderId="8" xfId="0" applyFont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0" fontId="4" fillId="7" borderId="1" xfId="0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/>
    </xf>
    <xf numFmtId="164" fontId="8" fillId="10" borderId="7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22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22" fillId="0" borderId="0" xfId="0" applyFont="1"/>
    <xf numFmtId="0" fontId="12" fillId="5" borderId="20" xfId="0" applyFont="1" applyFill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3" fontId="8" fillId="5" borderId="8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8" fillId="5" borderId="8" xfId="0" applyFont="1" applyFill="1" applyBorder="1" applyAlignment="1">
      <alignment horizontal="left" vertical="center"/>
    </xf>
    <xf numFmtId="0" fontId="27" fillId="10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169" fontId="29" fillId="0" borderId="14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0" fontId="35" fillId="0" borderId="1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78" zoomScale="85" zoomScaleNormal="85" workbookViewId="0">
      <selection activeCell="D83" sqref="D83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9" t="s">
        <v>1</v>
      </c>
      <c r="K3" s="178"/>
      <c r="L3" s="178"/>
      <c r="M3" s="178"/>
      <c r="N3" s="178"/>
      <c r="O3" s="178"/>
      <c r="P3" s="178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0" t="s">
        <v>2</v>
      </c>
      <c r="C6" s="181"/>
      <c r="D6" s="182"/>
      <c r="E6" s="144"/>
      <c r="F6" s="3"/>
      <c r="G6" s="3"/>
      <c r="H6" s="180" t="s">
        <v>3</v>
      </c>
      <c r="I6" s="181"/>
      <c r="J6" s="183" t="s">
        <v>4</v>
      </c>
      <c r="K6" s="144"/>
      <c r="L6" s="3"/>
      <c r="M6" s="3"/>
      <c r="N6" s="3"/>
      <c r="O6" s="4" t="s">
        <v>5</v>
      </c>
      <c r="P6" s="5">
        <f ca="1">TODAY()</f>
        <v>45989</v>
      </c>
      <c r="Q6" s="184"/>
      <c r="R6" s="178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3" t="s">
        <v>6</v>
      </c>
      <c r="C8" s="146"/>
      <c r="D8" s="146"/>
      <c r="E8" s="146"/>
      <c r="F8" s="144"/>
      <c r="G8" s="6"/>
      <c r="H8" s="157" t="s">
        <v>7</v>
      </c>
      <c r="I8" s="146"/>
      <c r="J8" s="146"/>
      <c r="K8" s="146"/>
      <c r="L8" s="144"/>
      <c r="M8" s="6"/>
      <c r="N8" s="145" t="s">
        <v>8</v>
      </c>
      <c r="O8" s="146"/>
      <c r="P8" s="144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5"/>
      <c r="O9" s="144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9">
        <v>1</v>
      </c>
      <c r="C10" s="163" t="s">
        <v>18</v>
      </c>
      <c r="D10" s="164">
        <v>2325</v>
      </c>
      <c r="E10" s="165"/>
      <c r="F10" s="164">
        <f>(D10*E10)+D10</f>
        <v>2325</v>
      </c>
      <c r="G10" s="12"/>
      <c r="H10" s="164"/>
      <c r="I10" s="164"/>
      <c r="J10" s="164">
        <v>1330</v>
      </c>
      <c r="K10" s="164"/>
      <c r="L10" s="164">
        <f>SUM(H10:K10)</f>
        <v>1330</v>
      </c>
      <c r="M10" s="12"/>
      <c r="N10" s="176" t="s">
        <v>19</v>
      </c>
      <c r="O10" s="128"/>
      <c r="P10" s="170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8"/>
      <c r="C11" s="148"/>
      <c r="D11" s="148"/>
      <c r="E11" s="148"/>
      <c r="F11" s="148"/>
      <c r="G11" s="12"/>
      <c r="H11" s="148"/>
      <c r="I11" s="148"/>
      <c r="J11" s="148"/>
      <c r="K11" s="148"/>
      <c r="L11" s="148"/>
      <c r="M11" s="12"/>
      <c r="N11" s="129"/>
      <c r="O11" s="130"/>
      <c r="P11" s="14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1">
        <v>2</v>
      </c>
      <c r="C12" s="171" t="s">
        <v>20</v>
      </c>
      <c r="D12" s="172">
        <v>2325</v>
      </c>
      <c r="E12" s="173">
        <v>0.75</v>
      </c>
      <c r="F12" s="172">
        <f>(D12*E12)+D12</f>
        <v>4068.75</v>
      </c>
      <c r="G12" s="12"/>
      <c r="H12" s="172">
        <v>1330</v>
      </c>
      <c r="I12" s="172">
        <v>1330</v>
      </c>
      <c r="J12" s="172"/>
      <c r="K12" s="172"/>
      <c r="L12" s="172">
        <f>SUM(H12:K12)</f>
        <v>2660</v>
      </c>
      <c r="M12" s="12"/>
      <c r="N12" s="127" t="s">
        <v>21</v>
      </c>
      <c r="O12" s="128"/>
      <c r="P12" s="167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8"/>
      <c r="C13" s="148"/>
      <c r="D13" s="148"/>
      <c r="E13" s="148"/>
      <c r="F13" s="148"/>
      <c r="G13" s="12"/>
      <c r="H13" s="148"/>
      <c r="I13" s="148"/>
      <c r="J13" s="148"/>
      <c r="K13" s="148"/>
      <c r="L13" s="148"/>
      <c r="M13" s="12"/>
      <c r="N13" s="129"/>
      <c r="O13" s="130"/>
      <c r="P13" s="14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9">
        <v>3</v>
      </c>
      <c r="C14" s="163" t="s">
        <v>22</v>
      </c>
      <c r="D14" s="164">
        <v>2325</v>
      </c>
      <c r="E14" s="165"/>
      <c r="F14" s="164">
        <f>(D14*E14)+D14</f>
        <v>2325</v>
      </c>
      <c r="G14" s="13"/>
      <c r="H14" s="164"/>
      <c r="I14" s="164"/>
      <c r="J14" s="164">
        <v>1330</v>
      </c>
      <c r="K14" s="164"/>
      <c r="L14" s="164">
        <f>SUM(H14:K14)</f>
        <v>1330</v>
      </c>
      <c r="M14" s="13"/>
      <c r="N14" s="127" t="s">
        <v>161</v>
      </c>
      <c r="O14" s="128"/>
      <c r="P14" s="131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48"/>
      <c r="C15" s="148"/>
      <c r="D15" s="148"/>
      <c r="E15" s="148"/>
      <c r="F15" s="148"/>
      <c r="G15" s="13"/>
      <c r="H15" s="148"/>
      <c r="I15" s="148"/>
      <c r="J15" s="148"/>
      <c r="K15" s="148"/>
      <c r="L15" s="148"/>
      <c r="M15" s="13"/>
      <c r="N15" s="129"/>
      <c r="O15" s="130"/>
      <c r="P15" s="132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71">
        <v>4</v>
      </c>
      <c r="C16" s="171" t="s">
        <v>23</v>
      </c>
      <c r="D16" s="172">
        <v>2325</v>
      </c>
      <c r="E16" s="173">
        <v>0.25</v>
      </c>
      <c r="F16" s="172">
        <f>(D16*E16)+D16</f>
        <v>2906.25</v>
      </c>
      <c r="G16" s="13"/>
      <c r="H16" s="172">
        <v>1330</v>
      </c>
      <c r="I16" s="152"/>
      <c r="J16" s="172"/>
      <c r="K16" s="172">
        <v>760</v>
      </c>
      <c r="L16" s="172">
        <f>SUM(H16:K16)</f>
        <v>2090</v>
      </c>
      <c r="M16" s="13"/>
      <c r="N16" s="133"/>
      <c r="O16" s="134"/>
      <c r="P16" s="137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48"/>
      <c r="C17" s="148"/>
      <c r="D17" s="148"/>
      <c r="E17" s="148"/>
      <c r="F17" s="148"/>
      <c r="G17" s="13"/>
      <c r="H17" s="148"/>
      <c r="I17" s="148"/>
      <c r="J17" s="148"/>
      <c r="K17" s="148"/>
      <c r="L17" s="148"/>
      <c r="M17" s="13"/>
      <c r="N17" s="135"/>
      <c r="O17" s="136"/>
      <c r="P17" s="138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69">
        <v>5</v>
      </c>
      <c r="C18" s="163" t="s">
        <v>24</v>
      </c>
      <c r="D18" s="164">
        <v>2325</v>
      </c>
      <c r="E18" s="165"/>
      <c r="F18" s="164">
        <f>(D18*E18)+D18</f>
        <v>2325</v>
      </c>
      <c r="G18" s="13"/>
      <c r="H18" s="164"/>
      <c r="I18" s="164"/>
      <c r="J18" s="164">
        <v>1330</v>
      </c>
      <c r="K18" s="164"/>
      <c r="L18" s="164">
        <f>SUM(H18:K18)</f>
        <v>1330</v>
      </c>
      <c r="M18" s="13"/>
      <c r="N18" s="133"/>
      <c r="O18" s="134"/>
      <c r="P18" s="13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48"/>
      <c r="C19" s="148"/>
      <c r="D19" s="148"/>
      <c r="E19" s="148"/>
      <c r="F19" s="148"/>
      <c r="G19" s="13"/>
      <c r="H19" s="148"/>
      <c r="I19" s="148"/>
      <c r="J19" s="148"/>
      <c r="K19" s="148"/>
      <c r="L19" s="148"/>
      <c r="M19" s="13"/>
      <c r="N19" s="135"/>
      <c r="O19" s="136"/>
      <c r="P19" s="138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4" t="s">
        <v>19</v>
      </c>
      <c r="C20" s="146"/>
      <c r="D20" s="146"/>
      <c r="E20" s="144"/>
      <c r="F20" s="14">
        <f>SUM(F10:F19)</f>
        <v>13950</v>
      </c>
      <c r="G20" s="13"/>
      <c r="H20" s="168" t="s">
        <v>21</v>
      </c>
      <c r="I20" s="146"/>
      <c r="J20" s="146"/>
      <c r="K20" s="144"/>
      <c r="L20" s="15">
        <f>SUM(L10:L19)</f>
        <v>8740</v>
      </c>
      <c r="M20" s="13"/>
      <c r="N20" s="168" t="s">
        <v>25</v>
      </c>
      <c r="O20" s="144"/>
      <c r="P20" s="16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43" t="s">
        <v>26</v>
      </c>
      <c r="C22" s="144"/>
      <c r="D22" s="17" t="s">
        <v>9</v>
      </c>
      <c r="E22" s="143" t="s">
        <v>27</v>
      </c>
      <c r="F22" s="144"/>
      <c r="G22" s="6"/>
      <c r="H22" s="157" t="s">
        <v>26</v>
      </c>
      <c r="I22" s="144"/>
      <c r="J22" s="18" t="s">
        <v>9</v>
      </c>
      <c r="K22" s="157" t="s">
        <v>27</v>
      </c>
      <c r="L22" s="144"/>
      <c r="M22" s="6"/>
      <c r="N22" s="145" t="s">
        <v>28</v>
      </c>
      <c r="O22" s="146"/>
      <c r="P22" s="144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59" t="s">
        <v>29</v>
      </c>
      <c r="C23" s="160"/>
      <c r="D23" s="147">
        <v>5</v>
      </c>
      <c r="E23" s="149" t="s">
        <v>30</v>
      </c>
      <c r="F23" s="128"/>
      <c r="G23" s="19"/>
      <c r="H23" s="156" t="s">
        <v>31</v>
      </c>
      <c r="I23" s="128"/>
      <c r="J23" s="152">
        <f>COUNT(H10:H19)</f>
        <v>2</v>
      </c>
      <c r="K23" s="149" t="s">
        <v>32</v>
      </c>
      <c r="L23" s="128"/>
      <c r="M23" s="19"/>
      <c r="N23" s="139" t="s">
        <v>33</v>
      </c>
      <c r="O23" s="140"/>
      <c r="P23" s="128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61"/>
      <c r="C24" s="162"/>
      <c r="D24" s="148"/>
      <c r="E24" s="150"/>
      <c r="F24" s="151"/>
      <c r="G24" s="19"/>
      <c r="H24" s="129"/>
      <c r="I24" s="130"/>
      <c r="J24" s="148"/>
      <c r="K24" s="150"/>
      <c r="L24" s="151"/>
      <c r="M24" s="19"/>
      <c r="N24" s="129"/>
      <c r="O24" s="141"/>
      <c r="P24" s="13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6" t="s">
        <v>34</v>
      </c>
      <c r="C25" s="160"/>
      <c r="D25" s="158">
        <v>5</v>
      </c>
      <c r="E25" s="150"/>
      <c r="F25" s="151"/>
      <c r="G25" s="19"/>
      <c r="H25" s="154" t="s">
        <v>15</v>
      </c>
      <c r="I25" s="128"/>
      <c r="J25" s="153">
        <f>COUNT(I10:I13)</f>
        <v>1</v>
      </c>
      <c r="K25" s="150"/>
      <c r="L25" s="151"/>
      <c r="M25" s="19"/>
      <c r="N25" s="142"/>
      <c r="O25" s="140"/>
      <c r="P25" s="128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1"/>
      <c r="C26" s="162"/>
      <c r="D26" s="148"/>
      <c r="E26" s="129"/>
      <c r="F26" s="130"/>
      <c r="G26" s="19"/>
      <c r="H26" s="129"/>
      <c r="I26" s="130"/>
      <c r="J26" s="148"/>
      <c r="K26" s="129"/>
      <c r="L26" s="130"/>
      <c r="M26" s="19"/>
      <c r="N26" s="129"/>
      <c r="O26" s="141"/>
      <c r="P26" s="13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59" t="s">
        <v>35</v>
      </c>
      <c r="C27" s="160"/>
      <c r="D27" s="152">
        <v>1</v>
      </c>
      <c r="E27" s="149" t="s">
        <v>36</v>
      </c>
      <c r="F27" s="128"/>
      <c r="G27" s="20"/>
      <c r="H27" s="156" t="s">
        <v>16</v>
      </c>
      <c r="I27" s="128"/>
      <c r="J27" s="152">
        <f>COUNT(J10:J19)</f>
        <v>3</v>
      </c>
      <c r="K27" s="149" t="s">
        <v>37</v>
      </c>
      <c r="L27" s="128"/>
      <c r="M27" s="19"/>
      <c r="N27" s="139"/>
      <c r="O27" s="140"/>
      <c r="P27" s="128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61"/>
      <c r="C28" s="162"/>
      <c r="D28" s="148"/>
      <c r="E28" s="150"/>
      <c r="F28" s="151"/>
      <c r="G28" s="20"/>
      <c r="H28" s="129"/>
      <c r="I28" s="130"/>
      <c r="J28" s="148"/>
      <c r="K28" s="150"/>
      <c r="L28" s="151"/>
      <c r="M28" s="19"/>
      <c r="N28" s="129"/>
      <c r="O28" s="141"/>
      <c r="P28" s="130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6" t="s">
        <v>38</v>
      </c>
      <c r="C29" s="160"/>
      <c r="D29" s="153">
        <f>IF(COUNTIF(D10:D19,3560)&gt;0,2,1)</f>
        <v>1</v>
      </c>
      <c r="E29" s="150"/>
      <c r="F29" s="151"/>
      <c r="G29" s="20"/>
      <c r="H29" s="154" t="s">
        <v>17</v>
      </c>
      <c r="I29" s="128"/>
      <c r="J29" s="155">
        <f>COUNT(K10:K19)</f>
        <v>1</v>
      </c>
      <c r="K29" s="150"/>
      <c r="L29" s="151"/>
      <c r="M29" s="19"/>
      <c r="N29" s="142"/>
      <c r="O29" s="140"/>
      <c r="P29" s="128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61"/>
      <c r="C30" s="162"/>
      <c r="D30" s="148"/>
      <c r="E30" s="150"/>
      <c r="F30" s="151"/>
      <c r="G30" s="20"/>
      <c r="H30" s="129"/>
      <c r="I30" s="130"/>
      <c r="J30" s="148"/>
      <c r="K30" s="150"/>
      <c r="L30" s="151"/>
      <c r="M30" s="19"/>
      <c r="N30" s="129"/>
      <c r="O30" s="141"/>
      <c r="P30" s="130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59" t="s">
        <v>39</v>
      </c>
      <c r="C31" s="160"/>
      <c r="D31" s="152">
        <f>COUNT(B10:B19)</f>
        <v>5</v>
      </c>
      <c r="E31" s="150"/>
      <c r="F31" s="151"/>
      <c r="G31" s="20"/>
      <c r="H31" s="156" t="s">
        <v>40</v>
      </c>
      <c r="I31" s="128"/>
      <c r="J31" s="152">
        <v>0</v>
      </c>
      <c r="K31" s="150"/>
      <c r="L31" s="151"/>
      <c r="M31" s="19"/>
      <c r="N31" s="139"/>
      <c r="O31" s="140"/>
      <c r="P31" s="128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61"/>
      <c r="C32" s="162"/>
      <c r="D32" s="148"/>
      <c r="E32" s="129"/>
      <c r="F32" s="130"/>
      <c r="G32" s="20"/>
      <c r="H32" s="129"/>
      <c r="I32" s="130"/>
      <c r="J32" s="148"/>
      <c r="K32" s="129"/>
      <c r="L32" s="130"/>
      <c r="M32" s="19"/>
      <c r="N32" s="129"/>
      <c r="O32" s="141"/>
      <c r="P32" s="130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5"/>
      <c r="C33" s="125"/>
      <c r="D33" s="125"/>
      <c r="E33" s="125"/>
      <c r="F33" s="125"/>
      <c r="G33" s="126"/>
      <c r="H33" s="125"/>
      <c r="I33" s="125"/>
      <c r="J33" s="125"/>
      <c r="K33" s="125"/>
      <c r="L33" s="125"/>
      <c r="M33" s="19"/>
      <c r="N33" s="125"/>
      <c r="O33" s="125"/>
      <c r="P33" s="12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5"/>
      <c r="C34" s="125"/>
      <c r="D34" s="125"/>
      <c r="E34" s="125"/>
      <c r="F34" s="125"/>
      <c r="G34" s="126"/>
      <c r="H34" s="125"/>
      <c r="I34" s="125"/>
      <c r="J34" s="125"/>
      <c r="K34" s="125"/>
      <c r="L34" s="125"/>
      <c r="M34" s="19"/>
      <c r="N34" s="125"/>
      <c r="O34" s="125"/>
      <c r="P34" s="125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5"/>
      <c r="C35" s="125"/>
      <c r="D35" s="125"/>
      <c r="E35" s="125"/>
      <c r="F35" s="125"/>
      <c r="G35" s="126"/>
      <c r="H35" s="125"/>
      <c r="I35" s="125"/>
      <c r="J35" s="125"/>
      <c r="K35" s="125"/>
      <c r="L35" s="125"/>
      <c r="M35" s="19"/>
      <c r="N35" s="125"/>
      <c r="O35" s="125"/>
      <c r="P35" s="12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5"/>
      <c r="C36" s="125"/>
      <c r="D36" s="125"/>
      <c r="E36" s="125"/>
      <c r="F36" s="125"/>
      <c r="G36" s="126"/>
      <c r="H36" s="125"/>
      <c r="I36" s="125"/>
      <c r="J36" s="125"/>
      <c r="K36" s="125"/>
      <c r="L36" s="125"/>
      <c r="M36" s="19"/>
      <c r="N36" s="125"/>
      <c r="O36" s="125"/>
      <c r="P36" s="12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5"/>
      <c r="C37" s="125"/>
      <c r="D37" s="125"/>
      <c r="E37" s="125"/>
      <c r="F37" s="125"/>
      <c r="G37" s="126"/>
      <c r="H37" s="125"/>
      <c r="I37" s="125"/>
      <c r="J37" s="125"/>
      <c r="K37" s="125"/>
      <c r="L37" s="125"/>
      <c r="M37" s="19"/>
      <c r="N37" s="125"/>
      <c r="O37" s="125"/>
      <c r="P37" s="125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5"/>
      <c r="C38" s="125"/>
      <c r="D38" s="125"/>
      <c r="E38" s="125"/>
      <c r="F38" s="125"/>
      <c r="G38" s="126"/>
      <c r="H38" s="125"/>
      <c r="I38" s="125"/>
      <c r="J38" s="125"/>
      <c r="K38" s="125"/>
      <c r="L38" s="125"/>
      <c r="M38" s="19"/>
      <c r="N38" s="125"/>
      <c r="O38" s="125"/>
      <c r="P38" s="12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9"/>
      <c r="N39" s="125"/>
      <c r="O39" s="125"/>
      <c r="P39" s="125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5"/>
      <c r="C40" s="125"/>
      <c r="D40" s="125"/>
      <c r="E40" s="125"/>
      <c r="F40" s="125"/>
      <c r="G40" s="126"/>
      <c r="H40" s="125"/>
      <c r="I40" s="125"/>
      <c r="J40" s="125"/>
      <c r="K40" s="125"/>
      <c r="L40" s="125"/>
      <c r="M40" s="19"/>
      <c r="N40" s="125"/>
      <c r="O40" s="125"/>
      <c r="P40" s="125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5"/>
      <c r="C41" s="125"/>
      <c r="D41" s="125"/>
      <c r="E41" s="125"/>
      <c r="F41" s="125"/>
      <c r="G41" s="126"/>
      <c r="H41" s="125"/>
      <c r="I41" s="125"/>
      <c r="J41" s="125"/>
      <c r="K41" s="125"/>
      <c r="L41" s="125"/>
      <c r="M41" s="19"/>
      <c r="N41" s="125"/>
      <c r="O41" s="125"/>
      <c r="P41" s="125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5"/>
      <c r="C42" s="125"/>
      <c r="D42" s="125"/>
      <c r="E42" s="125"/>
      <c r="F42" s="125"/>
      <c r="G42" s="126"/>
      <c r="H42" s="125"/>
      <c r="I42" s="125"/>
      <c r="J42" s="125"/>
      <c r="K42" s="125"/>
      <c r="L42" s="125"/>
      <c r="M42" s="19"/>
      <c r="N42" s="125"/>
      <c r="O42" s="125"/>
      <c r="P42" s="12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5"/>
      <c r="C43" s="125"/>
      <c r="D43" s="125"/>
      <c r="E43" s="125"/>
      <c r="F43" s="125"/>
      <c r="G43" s="126"/>
      <c r="H43" s="125"/>
      <c r="I43" s="125"/>
      <c r="J43" s="125"/>
      <c r="K43" s="125"/>
      <c r="L43" s="125"/>
      <c r="M43" s="19"/>
      <c r="N43" s="125"/>
      <c r="O43" s="125"/>
      <c r="P43" s="125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5"/>
      <c r="C44" s="125"/>
      <c r="D44" s="125"/>
      <c r="E44" s="125"/>
      <c r="F44" s="125"/>
      <c r="G44" s="126"/>
      <c r="H44" s="125"/>
      <c r="I44" s="125"/>
      <c r="J44" s="125"/>
      <c r="K44" s="125"/>
      <c r="L44" s="125"/>
      <c r="M44" s="19"/>
      <c r="N44" s="125"/>
      <c r="O44" s="125"/>
      <c r="P44" s="12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5"/>
      <c r="C45" s="125"/>
      <c r="D45" s="125"/>
      <c r="E45" s="125"/>
      <c r="F45" s="125"/>
      <c r="G45" s="126"/>
      <c r="H45" s="125"/>
      <c r="I45" s="125"/>
      <c r="J45" s="125"/>
      <c r="K45" s="125"/>
      <c r="L45" s="125"/>
      <c r="M45" s="19"/>
      <c r="N45" s="125"/>
      <c r="O45" s="125"/>
      <c r="P45" s="1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5"/>
      <c r="C46" s="125"/>
      <c r="D46" s="125"/>
      <c r="E46" s="125"/>
      <c r="F46" s="125"/>
      <c r="G46" s="126"/>
      <c r="H46" s="125"/>
      <c r="I46" s="125"/>
      <c r="J46" s="125"/>
      <c r="K46" s="125"/>
      <c r="L46" s="125"/>
      <c r="M46" s="19"/>
      <c r="N46" s="125"/>
      <c r="O46" s="125"/>
      <c r="P46" s="12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5"/>
      <c r="C47" s="125"/>
      <c r="D47" s="125"/>
      <c r="E47" s="125"/>
      <c r="F47" s="125"/>
      <c r="G47" s="126"/>
      <c r="H47" s="125"/>
      <c r="I47" s="125"/>
      <c r="J47" s="125"/>
      <c r="K47" s="125"/>
      <c r="L47" s="125"/>
      <c r="M47" s="19"/>
      <c r="N47" s="125"/>
      <c r="O47" s="125"/>
      <c r="P47" s="12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5"/>
      <c r="C48" s="125"/>
      <c r="D48" s="125"/>
      <c r="E48" s="125"/>
      <c r="F48" s="125"/>
      <c r="G48" s="126"/>
      <c r="H48" s="125"/>
      <c r="I48" s="125"/>
      <c r="J48" s="125"/>
      <c r="K48" s="125"/>
      <c r="L48" s="125"/>
      <c r="M48" s="19"/>
      <c r="N48" s="125"/>
      <c r="O48" s="125"/>
      <c r="P48" s="12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5"/>
      <c r="C49" s="125"/>
      <c r="D49" s="125"/>
      <c r="E49" s="125"/>
      <c r="F49" s="125"/>
      <c r="G49" s="126"/>
      <c r="H49" s="125"/>
      <c r="I49" s="125"/>
      <c r="J49" s="125"/>
      <c r="K49" s="125"/>
      <c r="L49" s="125"/>
      <c r="M49" s="19"/>
      <c r="N49" s="125"/>
      <c r="O49" s="125"/>
      <c r="P49" s="12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5"/>
      <c r="C50" s="125"/>
      <c r="D50" s="125"/>
      <c r="E50" s="125"/>
      <c r="F50" s="125"/>
      <c r="G50" s="126"/>
      <c r="H50" s="125"/>
      <c r="I50" s="125"/>
      <c r="J50" s="125"/>
      <c r="K50" s="125"/>
      <c r="L50" s="125"/>
      <c r="M50" s="19"/>
      <c r="N50" s="125"/>
      <c r="O50" s="125"/>
      <c r="P50" s="12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8"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B23:C24"/>
    <mergeCell ref="B25:C26"/>
    <mergeCell ref="B27:C28"/>
    <mergeCell ref="D27:D28"/>
    <mergeCell ref="E27:F32"/>
    <mergeCell ref="B29:C30"/>
    <mergeCell ref="D29:D30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B31:C32"/>
    <mergeCell ref="D31:D32"/>
    <mergeCell ref="N14:O15"/>
    <mergeCell ref="P14:P15"/>
    <mergeCell ref="N16:O17"/>
    <mergeCell ref="P16:P17"/>
    <mergeCell ref="N18:O19"/>
    <mergeCell ref="P18:P19"/>
    <mergeCell ref="N23:P24"/>
    <mergeCell ref="N25:P26"/>
    <mergeCell ref="N27:P2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9" t="s">
        <v>41</v>
      </c>
      <c r="K3" s="178"/>
      <c r="L3" s="178"/>
      <c r="M3" s="178"/>
      <c r="N3" s="178"/>
      <c r="O3" s="178"/>
      <c r="P3" s="178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80" t="s">
        <v>2</v>
      </c>
      <c r="C6" s="181"/>
      <c r="D6" s="182"/>
      <c r="E6" s="144"/>
      <c r="F6" s="3"/>
      <c r="G6" s="3"/>
      <c r="H6" s="180" t="s">
        <v>3</v>
      </c>
      <c r="I6" s="181"/>
      <c r="J6" s="183" t="s">
        <v>42</v>
      </c>
      <c r="K6" s="144"/>
      <c r="L6" s="3"/>
      <c r="M6" s="3"/>
      <c r="N6" s="3"/>
      <c r="O6" s="4" t="s">
        <v>5</v>
      </c>
      <c r="P6" s="5">
        <f ca="1">TODAY()</f>
        <v>45989</v>
      </c>
      <c r="Q6" s="184"/>
      <c r="R6" s="178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3" t="s">
        <v>6</v>
      </c>
      <c r="C8" s="146"/>
      <c r="D8" s="146"/>
      <c r="E8" s="146"/>
      <c r="F8" s="144"/>
      <c r="G8" s="6"/>
      <c r="H8" s="157" t="s">
        <v>7</v>
      </c>
      <c r="I8" s="146"/>
      <c r="J8" s="146"/>
      <c r="K8" s="146"/>
      <c r="L8" s="144"/>
      <c r="M8" s="6"/>
      <c r="N8" s="145" t="s">
        <v>8</v>
      </c>
      <c r="O8" s="146"/>
      <c r="P8" s="144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5"/>
      <c r="O9" s="144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9">
        <v>1</v>
      </c>
      <c r="C10" s="163" t="s">
        <v>43</v>
      </c>
      <c r="D10" s="164">
        <v>3560</v>
      </c>
      <c r="E10" s="165"/>
      <c r="F10" s="164">
        <f>(D10*E10)+D10</f>
        <v>3560</v>
      </c>
      <c r="G10" s="12"/>
      <c r="H10" s="164">
        <v>1330</v>
      </c>
      <c r="I10" s="164">
        <v>1330</v>
      </c>
      <c r="J10" s="164">
        <v>1330</v>
      </c>
      <c r="K10" s="164">
        <v>760</v>
      </c>
      <c r="L10" s="164">
        <f>SUM(H10:K10)</f>
        <v>4750</v>
      </c>
      <c r="M10" s="12"/>
      <c r="N10" s="176" t="s">
        <v>19</v>
      </c>
      <c r="O10" s="128"/>
      <c r="P10" s="170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8"/>
      <c r="C11" s="148"/>
      <c r="D11" s="148"/>
      <c r="E11" s="148"/>
      <c r="F11" s="148"/>
      <c r="G11" s="12"/>
      <c r="H11" s="148"/>
      <c r="I11" s="148"/>
      <c r="J11" s="148"/>
      <c r="K11" s="148"/>
      <c r="L11" s="148"/>
      <c r="M11" s="12"/>
      <c r="N11" s="129"/>
      <c r="O11" s="130"/>
      <c r="P11" s="14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1">
        <v>2</v>
      </c>
      <c r="C12" s="171" t="s">
        <v>44</v>
      </c>
      <c r="D12" s="172">
        <v>3560</v>
      </c>
      <c r="E12" s="173"/>
      <c r="F12" s="164">
        <f>(D12*E12)+D12</f>
        <v>3560</v>
      </c>
      <c r="G12" s="12"/>
      <c r="H12" s="172"/>
      <c r="I12" s="172">
        <v>1330</v>
      </c>
      <c r="J12" s="172"/>
      <c r="K12" s="172"/>
      <c r="L12" s="164">
        <f>SUM(H12:K12)</f>
        <v>1330</v>
      </c>
      <c r="M12" s="12"/>
      <c r="N12" s="127" t="s">
        <v>21</v>
      </c>
      <c r="O12" s="128"/>
      <c r="P12" s="167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8"/>
      <c r="C13" s="148"/>
      <c r="D13" s="148"/>
      <c r="E13" s="148"/>
      <c r="F13" s="148"/>
      <c r="G13" s="12"/>
      <c r="H13" s="148"/>
      <c r="I13" s="148"/>
      <c r="J13" s="148"/>
      <c r="K13" s="148"/>
      <c r="L13" s="148"/>
      <c r="M13" s="12"/>
      <c r="N13" s="129"/>
      <c r="O13" s="130"/>
      <c r="P13" s="14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4" t="s">
        <v>19</v>
      </c>
      <c r="C14" s="146"/>
      <c r="D14" s="146"/>
      <c r="E14" s="144"/>
      <c r="F14" s="14">
        <f>SUM(F10:F13)</f>
        <v>7120</v>
      </c>
      <c r="G14" s="13"/>
      <c r="H14" s="168" t="s">
        <v>21</v>
      </c>
      <c r="I14" s="146"/>
      <c r="J14" s="146"/>
      <c r="K14" s="144"/>
      <c r="L14" s="15">
        <f>SUM(L10:L13)</f>
        <v>6080</v>
      </c>
      <c r="M14" s="13"/>
      <c r="N14" s="168" t="s">
        <v>25</v>
      </c>
      <c r="O14" s="144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92" t="s">
        <v>26</v>
      </c>
      <c r="C16" s="193"/>
      <c r="D16" s="23" t="s">
        <v>9</v>
      </c>
      <c r="E16" s="192" t="s">
        <v>27</v>
      </c>
      <c r="F16" s="193"/>
      <c r="G16" s="6"/>
      <c r="H16" s="157" t="s">
        <v>26</v>
      </c>
      <c r="I16" s="144"/>
      <c r="J16" s="24" t="s">
        <v>9</v>
      </c>
      <c r="K16" s="157" t="s">
        <v>27</v>
      </c>
      <c r="L16" s="144"/>
      <c r="M16" s="6"/>
      <c r="N16" s="145" t="s">
        <v>28</v>
      </c>
      <c r="O16" s="146"/>
      <c r="P16" s="14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89" t="s">
        <v>29</v>
      </c>
      <c r="C17" s="186"/>
      <c r="D17" s="194">
        <f>COUNT(B10:B13)</f>
        <v>2</v>
      </c>
      <c r="E17" s="196" t="s">
        <v>30</v>
      </c>
      <c r="F17" s="191"/>
      <c r="G17" s="19"/>
      <c r="H17" s="156" t="s">
        <v>31</v>
      </c>
      <c r="I17" s="128"/>
      <c r="J17" s="171">
        <f>COUNT(H10:H13)</f>
        <v>1</v>
      </c>
      <c r="K17" s="149" t="s">
        <v>32</v>
      </c>
      <c r="L17" s="128"/>
      <c r="M17" s="19"/>
      <c r="N17" s="139" t="s">
        <v>45</v>
      </c>
      <c r="O17" s="140"/>
      <c r="P17" s="128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87"/>
      <c r="C18" s="188"/>
      <c r="D18" s="195"/>
      <c r="E18" s="197"/>
      <c r="F18" s="151"/>
      <c r="G18" s="19"/>
      <c r="H18" s="129"/>
      <c r="I18" s="130"/>
      <c r="J18" s="148"/>
      <c r="K18" s="150"/>
      <c r="L18" s="151"/>
      <c r="M18" s="19"/>
      <c r="N18" s="129"/>
      <c r="O18" s="141"/>
      <c r="P18" s="130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5" t="s">
        <v>34</v>
      </c>
      <c r="C19" s="186"/>
      <c r="D19" s="200">
        <f>COUNT(B10:B15)*2</f>
        <v>4</v>
      </c>
      <c r="E19" s="197"/>
      <c r="F19" s="151"/>
      <c r="G19" s="19"/>
      <c r="H19" s="154" t="s">
        <v>15</v>
      </c>
      <c r="I19" s="128"/>
      <c r="J19" s="169">
        <f>COUNT(I10:I13)</f>
        <v>2</v>
      </c>
      <c r="K19" s="150"/>
      <c r="L19" s="151"/>
      <c r="M19" s="19"/>
      <c r="N19" s="142"/>
      <c r="O19" s="140"/>
      <c r="P19" s="128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87"/>
      <c r="C20" s="188"/>
      <c r="D20" s="195"/>
      <c r="E20" s="198"/>
      <c r="F20" s="199"/>
      <c r="G20" s="19"/>
      <c r="H20" s="129"/>
      <c r="I20" s="130"/>
      <c r="J20" s="148"/>
      <c r="K20" s="129"/>
      <c r="L20" s="130"/>
      <c r="M20" s="19"/>
      <c r="N20" s="129"/>
      <c r="O20" s="141"/>
      <c r="P20" s="130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89" t="s">
        <v>35</v>
      </c>
      <c r="C21" s="186"/>
      <c r="D21" s="203">
        <v>2</v>
      </c>
      <c r="E21" s="190" t="s">
        <v>36</v>
      </c>
      <c r="F21" s="191"/>
      <c r="G21" s="20"/>
      <c r="H21" s="156" t="s">
        <v>16</v>
      </c>
      <c r="I21" s="128"/>
      <c r="J21" s="171">
        <f>COUNT(J10:J13)</f>
        <v>1</v>
      </c>
      <c r="K21" s="149" t="s">
        <v>37</v>
      </c>
      <c r="L21" s="128"/>
      <c r="M21" s="19"/>
      <c r="N21" s="139"/>
      <c r="O21" s="140"/>
      <c r="P21" s="128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7"/>
      <c r="C22" s="188"/>
      <c r="D22" s="195"/>
      <c r="E22" s="178"/>
      <c r="F22" s="151"/>
      <c r="G22" s="20"/>
      <c r="H22" s="129"/>
      <c r="I22" s="130"/>
      <c r="J22" s="148"/>
      <c r="K22" s="150"/>
      <c r="L22" s="151"/>
      <c r="M22" s="19"/>
      <c r="N22" s="129"/>
      <c r="O22" s="141"/>
      <c r="P22" s="13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85" t="s">
        <v>38</v>
      </c>
      <c r="C23" s="186"/>
      <c r="D23" s="201">
        <v>2</v>
      </c>
      <c r="E23" s="178"/>
      <c r="F23" s="151"/>
      <c r="G23" s="20"/>
      <c r="H23" s="154" t="s">
        <v>17</v>
      </c>
      <c r="I23" s="128"/>
      <c r="J23" s="163">
        <f>COUNT(K10:K13)</f>
        <v>1</v>
      </c>
      <c r="K23" s="150"/>
      <c r="L23" s="151"/>
      <c r="M23" s="19"/>
      <c r="N23" s="142"/>
      <c r="O23" s="140"/>
      <c r="P23" s="128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7"/>
      <c r="C24" s="188"/>
      <c r="D24" s="195"/>
      <c r="E24" s="178"/>
      <c r="F24" s="151"/>
      <c r="G24" s="20"/>
      <c r="H24" s="129"/>
      <c r="I24" s="130"/>
      <c r="J24" s="148"/>
      <c r="K24" s="150"/>
      <c r="L24" s="151"/>
      <c r="M24" s="19"/>
      <c r="N24" s="129"/>
      <c r="O24" s="141"/>
      <c r="P24" s="13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89" t="s">
        <v>39</v>
      </c>
      <c r="C25" s="186"/>
      <c r="D25" s="203">
        <f>COUNT(B10:B13)</f>
        <v>2</v>
      </c>
      <c r="E25" s="178"/>
      <c r="F25" s="151"/>
      <c r="G25" s="20"/>
      <c r="H25" s="156" t="s">
        <v>40</v>
      </c>
      <c r="I25" s="128"/>
      <c r="J25" s="171">
        <v>0</v>
      </c>
      <c r="K25" s="150"/>
      <c r="L25" s="151"/>
      <c r="M25" s="19"/>
      <c r="N25" s="139"/>
      <c r="O25" s="140"/>
      <c r="P25" s="128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29"/>
      <c r="C26" s="202"/>
      <c r="D26" s="204"/>
      <c r="E26" s="141"/>
      <c r="F26" s="130"/>
      <c r="G26" s="20"/>
      <c r="H26" s="129"/>
      <c r="I26" s="130"/>
      <c r="J26" s="148"/>
      <c r="K26" s="129"/>
      <c r="L26" s="130"/>
      <c r="M26" s="19"/>
      <c r="N26" s="129"/>
      <c r="O26" s="141"/>
      <c r="P26" s="13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223" t="s">
        <v>41</v>
      </c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80" t="s">
        <v>2</v>
      </c>
      <c r="C6" s="181"/>
      <c r="D6" s="224" t="s">
        <v>46</v>
      </c>
      <c r="E6" s="144"/>
      <c r="F6" s="3"/>
      <c r="G6" s="3"/>
      <c r="H6" s="180" t="s">
        <v>47</v>
      </c>
      <c r="I6" s="181"/>
      <c r="J6" s="25"/>
      <c r="K6" s="225" t="s">
        <v>48</v>
      </c>
      <c r="L6" s="144"/>
      <c r="M6" s="26"/>
      <c r="N6" s="26"/>
      <c r="O6" s="26"/>
      <c r="P6" s="27"/>
      <c r="Q6" s="3"/>
      <c r="R6" s="3"/>
      <c r="S6" s="180" t="s">
        <v>3</v>
      </c>
      <c r="T6" s="181"/>
      <c r="U6" s="183" t="s">
        <v>49</v>
      </c>
      <c r="V6" s="144"/>
      <c r="W6" s="3"/>
      <c r="X6" s="3"/>
      <c r="Y6" s="3"/>
      <c r="Z6" s="4" t="s">
        <v>5</v>
      </c>
      <c r="AA6" s="5">
        <f ca="1">TODAY()</f>
        <v>45989</v>
      </c>
      <c r="AB6" s="184"/>
      <c r="AC6" s="178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218" t="s">
        <v>6</v>
      </c>
      <c r="C8" s="146"/>
      <c r="D8" s="146"/>
      <c r="E8" s="146"/>
      <c r="F8" s="144"/>
      <c r="G8" s="6"/>
      <c r="H8" s="143" t="s">
        <v>50</v>
      </c>
      <c r="I8" s="146"/>
      <c r="J8" s="146"/>
      <c r="K8" s="146"/>
      <c r="L8" s="146"/>
      <c r="M8" s="146"/>
      <c r="N8" s="146"/>
      <c r="O8" s="146"/>
      <c r="P8" s="146"/>
      <c r="Q8" s="144"/>
      <c r="R8" s="6"/>
      <c r="S8" s="220" t="s">
        <v>7</v>
      </c>
      <c r="T8" s="146"/>
      <c r="U8" s="146"/>
      <c r="V8" s="146"/>
      <c r="W8" s="144"/>
      <c r="X8" s="6"/>
      <c r="Y8" s="145" t="s">
        <v>8</v>
      </c>
      <c r="Z8" s="146"/>
      <c r="AA8" s="144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51</v>
      </c>
      <c r="K9" s="9" t="s">
        <v>52</v>
      </c>
      <c r="L9" s="9" t="s">
        <v>53</v>
      </c>
      <c r="M9" s="9" t="s">
        <v>54</v>
      </c>
      <c r="N9" s="9" t="s">
        <v>55</v>
      </c>
      <c r="O9" s="9" t="s">
        <v>56</v>
      </c>
      <c r="P9" s="9" t="s">
        <v>12</v>
      </c>
      <c r="Q9" s="9" t="s">
        <v>13</v>
      </c>
      <c r="R9" s="10"/>
      <c r="S9" s="9" t="s">
        <v>57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221"/>
      <c r="Z9" s="144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69">
        <v>1</v>
      </c>
      <c r="C10" s="163" t="s">
        <v>18</v>
      </c>
      <c r="D10" s="164">
        <v>2790</v>
      </c>
      <c r="E10" s="165">
        <v>1</v>
      </c>
      <c r="F10" s="164">
        <f>(D10*E10)+D10</f>
        <v>5580</v>
      </c>
      <c r="G10" s="28"/>
      <c r="H10" s="169">
        <v>4</v>
      </c>
      <c r="I10" s="163" t="s">
        <v>18</v>
      </c>
      <c r="J10" s="164">
        <v>190</v>
      </c>
      <c r="K10" s="164">
        <v>190</v>
      </c>
      <c r="L10" s="164">
        <v>190</v>
      </c>
      <c r="M10" s="164">
        <v>450</v>
      </c>
      <c r="N10" s="164" t="s">
        <v>58</v>
      </c>
      <c r="O10" s="164">
        <v>450</v>
      </c>
      <c r="P10" s="165">
        <v>0.5</v>
      </c>
      <c r="Q10" s="164">
        <v>1850</v>
      </c>
      <c r="R10" s="12"/>
      <c r="S10" s="164">
        <v>380</v>
      </c>
      <c r="T10" s="164"/>
      <c r="U10" s="164">
        <v>1330</v>
      </c>
      <c r="V10" s="164"/>
      <c r="W10" s="164">
        <f>SUM(S10:V10)</f>
        <v>1710</v>
      </c>
      <c r="X10" s="12"/>
      <c r="Y10" s="176" t="s">
        <v>19</v>
      </c>
      <c r="Z10" s="128"/>
      <c r="AA10" s="219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48"/>
      <c r="C11" s="148"/>
      <c r="D11" s="148"/>
      <c r="E11" s="148"/>
      <c r="F11" s="148"/>
      <c r="G11" s="2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2"/>
      <c r="S11" s="148"/>
      <c r="T11" s="148"/>
      <c r="U11" s="148"/>
      <c r="V11" s="148"/>
      <c r="W11" s="148"/>
      <c r="X11" s="12"/>
      <c r="Y11" s="129"/>
      <c r="Z11" s="130"/>
      <c r="AA11" s="148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171">
        <v>2</v>
      </c>
      <c r="C12" s="171"/>
      <c r="D12" s="172"/>
      <c r="E12" s="152"/>
      <c r="F12" s="172"/>
      <c r="G12" s="28"/>
      <c r="H12" s="171">
        <v>5</v>
      </c>
      <c r="I12" s="171" t="s">
        <v>20</v>
      </c>
      <c r="J12" s="222">
        <v>190</v>
      </c>
      <c r="K12" s="222">
        <f>190*2</f>
        <v>380</v>
      </c>
      <c r="L12" s="172">
        <v>190</v>
      </c>
      <c r="M12" s="172">
        <v>450</v>
      </c>
      <c r="N12" s="172" t="s">
        <v>58</v>
      </c>
      <c r="O12" s="172">
        <v>450</v>
      </c>
      <c r="P12" s="173"/>
      <c r="Q12" s="164">
        <f>SUM(J12+K12+L12+M12+O12)</f>
        <v>1660</v>
      </c>
      <c r="R12" s="12"/>
      <c r="S12" s="152"/>
      <c r="T12" s="172">
        <v>1330</v>
      </c>
      <c r="U12" s="172"/>
      <c r="V12" s="152"/>
      <c r="W12" s="172">
        <f>SUM(S12:V12)</f>
        <v>1330</v>
      </c>
      <c r="X12" s="12"/>
      <c r="Y12" s="211" t="s">
        <v>59</v>
      </c>
      <c r="Z12" s="128"/>
      <c r="AA12" s="170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48"/>
      <c r="C13" s="148"/>
      <c r="D13" s="148"/>
      <c r="E13" s="148"/>
      <c r="F13" s="148"/>
      <c r="G13" s="2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2"/>
      <c r="S13" s="148"/>
      <c r="T13" s="148"/>
      <c r="U13" s="148"/>
      <c r="V13" s="148"/>
      <c r="W13" s="148"/>
      <c r="X13" s="12"/>
      <c r="Y13" s="129"/>
      <c r="Z13" s="130"/>
      <c r="AA13" s="148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171">
        <v>3</v>
      </c>
      <c r="C14" s="171"/>
      <c r="D14" s="172"/>
      <c r="E14" s="152"/>
      <c r="F14" s="172"/>
      <c r="G14" s="28"/>
      <c r="H14" s="163">
        <v>6</v>
      </c>
      <c r="I14" s="163"/>
      <c r="J14" s="215"/>
      <c r="K14" s="215"/>
      <c r="L14" s="164"/>
      <c r="M14" s="164"/>
      <c r="N14" s="164"/>
      <c r="O14" s="164"/>
      <c r="P14" s="165"/>
      <c r="Q14" s="164"/>
      <c r="R14" s="12"/>
      <c r="S14" s="155"/>
      <c r="T14" s="155"/>
      <c r="U14" s="164"/>
      <c r="V14" s="155"/>
      <c r="W14" s="164">
        <f>SUM(S14:V14)</f>
        <v>0</v>
      </c>
      <c r="X14" s="12"/>
      <c r="Y14" s="211" t="s">
        <v>21</v>
      </c>
      <c r="Z14" s="128"/>
      <c r="AA14" s="167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48"/>
      <c r="C15" s="148"/>
      <c r="D15" s="148"/>
      <c r="E15" s="148"/>
      <c r="F15" s="148"/>
      <c r="G15" s="2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2"/>
      <c r="S15" s="148"/>
      <c r="T15" s="148"/>
      <c r="U15" s="148"/>
      <c r="V15" s="148"/>
      <c r="W15" s="148"/>
      <c r="X15" s="12"/>
      <c r="Y15" s="129"/>
      <c r="Z15" s="130"/>
      <c r="AA15" s="148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16" t="s">
        <v>19</v>
      </c>
      <c r="C16" s="146"/>
      <c r="D16" s="146"/>
      <c r="E16" s="144"/>
      <c r="F16" s="29">
        <f>SUM(F10:F13)</f>
        <v>5580</v>
      </c>
      <c r="G16" s="13"/>
      <c r="H16" s="216" t="s">
        <v>59</v>
      </c>
      <c r="I16" s="146"/>
      <c r="J16" s="146"/>
      <c r="K16" s="146"/>
      <c r="L16" s="146"/>
      <c r="M16" s="146"/>
      <c r="N16" s="146"/>
      <c r="O16" s="146"/>
      <c r="P16" s="144"/>
      <c r="Q16" s="14">
        <f>SUM(Q10:Q13)</f>
        <v>3510</v>
      </c>
      <c r="R16" s="13"/>
      <c r="S16" s="207" t="s">
        <v>21</v>
      </c>
      <c r="T16" s="146"/>
      <c r="U16" s="146"/>
      <c r="V16" s="144"/>
      <c r="W16" s="30">
        <f>SUM(W10:W13)</f>
        <v>3040</v>
      </c>
      <c r="X16" s="13"/>
      <c r="Y16" s="168" t="s">
        <v>25</v>
      </c>
      <c r="Z16" s="144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218" t="s">
        <v>26</v>
      </c>
      <c r="C18" s="144"/>
      <c r="D18" s="31" t="s">
        <v>9</v>
      </c>
      <c r="E18" s="218" t="s">
        <v>27</v>
      </c>
      <c r="F18" s="144"/>
      <c r="G18" s="6"/>
      <c r="H18" s="143" t="s">
        <v>26</v>
      </c>
      <c r="I18" s="146"/>
      <c r="J18" s="146"/>
      <c r="K18" s="144"/>
      <c r="L18" s="32" t="s">
        <v>9</v>
      </c>
      <c r="M18" s="143" t="s">
        <v>27</v>
      </c>
      <c r="N18" s="146"/>
      <c r="O18" s="146"/>
      <c r="P18" s="146"/>
      <c r="Q18" s="144"/>
      <c r="R18" s="6"/>
      <c r="S18" s="157" t="s">
        <v>26</v>
      </c>
      <c r="T18" s="144"/>
      <c r="U18" s="24" t="s">
        <v>9</v>
      </c>
      <c r="V18" s="157" t="s">
        <v>27</v>
      </c>
      <c r="W18" s="144"/>
      <c r="X18" s="6"/>
      <c r="Y18" s="180" t="s">
        <v>28</v>
      </c>
      <c r="Z18" s="146"/>
      <c r="AA18" s="144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212" t="s">
        <v>29</v>
      </c>
      <c r="C19" s="128"/>
      <c r="D19" s="213">
        <v>1</v>
      </c>
      <c r="E19" s="149" t="s">
        <v>30</v>
      </c>
      <c r="F19" s="128"/>
      <c r="G19" s="1"/>
      <c r="H19" s="212" t="s">
        <v>60</v>
      </c>
      <c r="I19" s="140"/>
      <c r="J19" s="140"/>
      <c r="K19" s="128"/>
      <c r="L19" s="213">
        <v>2</v>
      </c>
      <c r="M19" s="217" t="s">
        <v>61</v>
      </c>
      <c r="N19" s="140"/>
      <c r="O19" s="140"/>
      <c r="P19" s="140"/>
      <c r="Q19" s="128"/>
      <c r="R19" s="19"/>
      <c r="S19" s="156" t="s">
        <v>62</v>
      </c>
      <c r="T19" s="128"/>
      <c r="U19" s="171">
        <f>COUNT(S10:S13)</f>
        <v>1</v>
      </c>
      <c r="V19" s="149" t="s">
        <v>63</v>
      </c>
      <c r="W19" s="128"/>
      <c r="X19" s="19"/>
      <c r="Y19" s="208" t="s">
        <v>64</v>
      </c>
      <c r="Z19" s="140"/>
      <c r="AA19" s="128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29"/>
      <c r="C20" s="130"/>
      <c r="D20" s="148"/>
      <c r="E20" s="150"/>
      <c r="F20" s="151"/>
      <c r="G20" s="1"/>
      <c r="H20" s="129"/>
      <c r="I20" s="141"/>
      <c r="J20" s="141"/>
      <c r="K20" s="130"/>
      <c r="L20" s="148"/>
      <c r="M20" s="150"/>
      <c r="N20" s="178"/>
      <c r="O20" s="178"/>
      <c r="P20" s="178"/>
      <c r="Q20" s="151"/>
      <c r="R20" s="19"/>
      <c r="S20" s="129"/>
      <c r="T20" s="130"/>
      <c r="U20" s="148"/>
      <c r="V20" s="150"/>
      <c r="W20" s="151"/>
      <c r="X20" s="19"/>
      <c r="Y20" s="129"/>
      <c r="Z20" s="141"/>
      <c r="AA20" s="130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210" t="s">
        <v>34</v>
      </c>
      <c r="C21" s="128"/>
      <c r="D21" s="169">
        <v>2</v>
      </c>
      <c r="E21" s="150"/>
      <c r="F21" s="151"/>
      <c r="G21" s="1"/>
      <c r="H21" s="210" t="s">
        <v>52</v>
      </c>
      <c r="I21" s="140"/>
      <c r="J21" s="140"/>
      <c r="K21" s="128"/>
      <c r="L21" s="169">
        <v>2</v>
      </c>
      <c r="M21" s="150"/>
      <c r="N21" s="178"/>
      <c r="O21" s="178"/>
      <c r="P21" s="178"/>
      <c r="Q21" s="151"/>
      <c r="R21" s="19"/>
      <c r="S21" s="154" t="s">
        <v>15</v>
      </c>
      <c r="T21" s="128"/>
      <c r="U21" s="169">
        <f>COUNT(T10:T13)</f>
        <v>1</v>
      </c>
      <c r="V21" s="150"/>
      <c r="W21" s="151"/>
      <c r="X21" s="19"/>
      <c r="Y21" s="209"/>
      <c r="Z21" s="140"/>
      <c r="AA21" s="128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29"/>
      <c r="C22" s="130"/>
      <c r="D22" s="148"/>
      <c r="E22" s="129"/>
      <c r="F22" s="130"/>
      <c r="G22" s="1"/>
      <c r="H22" s="129"/>
      <c r="I22" s="141"/>
      <c r="J22" s="141"/>
      <c r="K22" s="130"/>
      <c r="L22" s="148"/>
      <c r="M22" s="129"/>
      <c r="N22" s="141"/>
      <c r="O22" s="141"/>
      <c r="P22" s="141"/>
      <c r="Q22" s="130"/>
      <c r="R22" s="19"/>
      <c r="S22" s="129"/>
      <c r="T22" s="130"/>
      <c r="U22" s="148"/>
      <c r="V22" s="129"/>
      <c r="W22" s="130"/>
      <c r="X22" s="19"/>
      <c r="Y22" s="129"/>
      <c r="Z22" s="141"/>
      <c r="AA22" s="130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212" t="s">
        <v>35</v>
      </c>
      <c r="C23" s="128"/>
      <c r="D23" s="171">
        <v>2</v>
      </c>
      <c r="E23" s="149" t="s">
        <v>36</v>
      </c>
      <c r="F23" s="128"/>
      <c r="G23" s="1"/>
      <c r="H23" s="212" t="s">
        <v>35</v>
      </c>
      <c r="I23" s="140"/>
      <c r="J23" s="140"/>
      <c r="K23" s="128"/>
      <c r="L23" s="213">
        <v>1</v>
      </c>
      <c r="M23" s="214" t="s">
        <v>65</v>
      </c>
      <c r="N23" s="140"/>
      <c r="O23" s="140"/>
      <c r="P23" s="140"/>
      <c r="Q23" s="128"/>
      <c r="R23" s="19"/>
      <c r="S23" s="156" t="s">
        <v>16</v>
      </c>
      <c r="T23" s="128"/>
      <c r="U23" s="171">
        <f>COUNT(U10:U13)</f>
        <v>1</v>
      </c>
      <c r="V23" s="149" t="s">
        <v>37</v>
      </c>
      <c r="W23" s="128"/>
      <c r="X23" s="19"/>
      <c r="Y23" s="206"/>
      <c r="Z23" s="140"/>
      <c r="AA23" s="128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29"/>
      <c r="C24" s="130"/>
      <c r="D24" s="148"/>
      <c r="E24" s="150"/>
      <c r="F24" s="151"/>
      <c r="G24" s="1"/>
      <c r="H24" s="129"/>
      <c r="I24" s="141"/>
      <c r="J24" s="141"/>
      <c r="K24" s="130"/>
      <c r="L24" s="148"/>
      <c r="M24" s="150"/>
      <c r="N24" s="178"/>
      <c r="O24" s="178"/>
      <c r="P24" s="178"/>
      <c r="Q24" s="151"/>
      <c r="R24" s="19"/>
      <c r="S24" s="129"/>
      <c r="T24" s="130"/>
      <c r="U24" s="148"/>
      <c r="V24" s="150"/>
      <c r="W24" s="151"/>
      <c r="X24" s="19"/>
      <c r="Y24" s="129"/>
      <c r="Z24" s="141"/>
      <c r="AA24" s="130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210" t="s">
        <v>38</v>
      </c>
      <c r="C25" s="128"/>
      <c r="D25" s="169">
        <v>1</v>
      </c>
      <c r="E25" s="150"/>
      <c r="F25" s="151"/>
      <c r="G25" s="1"/>
      <c r="H25" s="210" t="s">
        <v>39</v>
      </c>
      <c r="I25" s="140"/>
      <c r="J25" s="140"/>
      <c r="K25" s="128"/>
      <c r="L25" s="169">
        <v>2</v>
      </c>
      <c r="M25" s="150"/>
      <c r="N25" s="178"/>
      <c r="O25" s="178"/>
      <c r="P25" s="178"/>
      <c r="Q25" s="151"/>
      <c r="R25" s="19"/>
      <c r="S25" s="154" t="s">
        <v>17</v>
      </c>
      <c r="T25" s="128"/>
      <c r="U25" s="163">
        <f>COUNT(V10:V13)</f>
        <v>0</v>
      </c>
      <c r="V25" s="150"/>
      <c r="W25" s="151"/>
      <c r="X25" s="19"/>
      <c r="Y25" s="205"/>
      <c r="Z25" s="140"/>
      <c r="AA25" s="128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29"/>
      <c r="C26" s="130"/>
      <c r="D26" s="148"/>
      <c r="E26" s="150"/>
      <c r="F26" s="151"/>
      <c r="G26" s="1"/>
      <c r="H26" s="129"/>
      <c r="I26" s="141"/>
      <c r="J26" s="141"/>
      <c r="K26" s="130"/>
      <c r="L26" s="148"/>
      <c r="M26" s="129"/>
      <c r="N26" s="141"/>
      <c r="O26" s="141"/>
      <c r="P26" s="141"/>
      <c r="Q26" s="130"/>
      <c r="R26" s="19"/>
      <c r="S26" s="129"/>
      <c r="T26" s="130"/>
      <c r="U26" s="148"/>
      <c r="V26" s="150"/>
      <c r="W26" s="151"/>
      <c r="X26" s="19"/>
      <c r="Y26" s="129"/>
      <c r="Z26" s="141"/>
      <c r="AA26" s="130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212" t="s">
        <v>39</v>
      </c>
      <c r="C27" s="128"/>
      <c r="D27" s="171">
        <v>2</v>
      </c>
      <c r="E27" s="150"/>
      <c r="F27" s="151"/>
      <c r="G27" s="1"/>
      <c r="H27" s="212" t="s">
        <v>38</v>
      </c>
      <c r="I27" s="140"/>
      <c r="J27" s="140"/>
      <c r="K27" s="128"/>
      <c r="L27" s="171">
        <v>1</v>
      </c>
      <c r="M27" s="214" t="s">
        <v>66</v>
      </c>
      <c r="N27" s="140"/>
      <c r="O27" s="140"/>
      <c r="P27" s="140"/>
      <c r="Q27" s="128"/>
      <c r="R27" s="19"/>
      <c r="S27" s="156" t="s">
        <v>40</v>
      </c>
      <c r="T27" s="128"/>
      <c r="U27" s="171">
        <v>0</v>
      </c>
      <c r="V27" s="150"/>
      <c r="W27" s="151"/>
      <c r="X27" s="19"/>
      <c r="Y27" s="206"/>
      <c r="Z27" s="140"/>
      <c r="AA27" s="128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29"/>
      <c r="C28" s="130"/>
      <c r="D28" s="148"/>
      <c r="E28" s="129"/>
      <c r="F28" s="130"/>
      <c r="G28" s="1"/>
      <c r="H28" s="129"/>
      <c r="I28" s="141"/>
      <c r="J28" s="141"/>
      <c r="K28" s="130"/>
      <c r="L28" s="148"/>
      <c r="M28" s="129"/>
      <c r="N28" s="141"/>
      <c r="O28" s="141"/>
      <c r="P28" s="141"/>
      <c r="Q28" s="130"/>
      <c r="R28" s="19"/>
      <c r="S28" s="129"/>
      <c r="T28" s="130"/>
      <c r="U28" s="148"/>
      <c r="V28" s="129"/>
      <c r="W28" s="130"/>
      <c r="X28" s="19"/>
      <c r="Y28" s="129"/>
      <c r="Z28" s="141"/>
      <c r="AA28" s="130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B3:P3"/>
    <mergeCell ref="Q3:AA3"/>
    <mergeCell ref="B6:C6"/>
    <mergeCell ref="D6:E6"/>
    <mergeCell ref="H6:I6"/>
    <mergeCell ref="K6:L6"/>
    <mergeCell ref="S6:T6"/>
    <mergeCell ref="I10:I11"/>
    <mergeCell ref="J10:J11"/>
    <mergeCell ref="K10:K11"/>
    <mergeCell ref="L10:L11"/>
    <mergeCell ref="M10:M11"/>
    <mergeCell ref="N10:N11"/>
    <mergeCell ref="O10:O11"/>
    <mergeCell ref="U6:V6"/>
    <mergeCell ref="E10:E11"/>
    <mergeCell ref="AB6:AC6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T14:T15"/>
    <mergeCell ref="U14:U15"/>
    <mergeCell ref="W14:W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8"/>
      <c r="K3" s="178"/>
      <c r="L3" s="223" t="s">
        <v>41</v>
      </c>
      <c r="M3" s="178"/>
      <c r="N3" s="178"/>
      <c r="O3" s="178"/>
      <c r="P3" s="178"/>
      <c r="Q3" s="178"/>
      <c r="R3" s="178"/>
      <c r="S3" s="178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80" t="s">
        <v>2</v>
      </c>
      <c r="C6" s="181"/>
      <c r="D6" s="182"/>
      <c r="E6" s="144"/>
      <c r="F6" s="33"/>
      <c r="G6" s="26"/>
      <c r="H6" s="34"/>
      <c r="I6" s="3"/>
      <c r="J6" s="3"/>
      <c r="K6" s="180" t="s">
        <v>3</v>
      </c>
      <c r="L6" s="181"/>
      <c r="M6" s="183" t="s">
        <v>42</v>
      </c>
      <c r="N6" s="144"/>
      <c r="O6" s="3"/>
      <c r="P6" s="3"/>
      <c r="Q6" s="3"/>
      <c r="R6" s="4" t="s">
        <v>5</v>
      </c>
      <c r="S6" s="5">
        <f ca="1">TODAY()</f>
        <v>45989</v>
      </c>
      <c r="T6" s="184"/>
      <c r="U6" s="178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43" t="s">
        <v>50</v>
      </c>
      <c r="C8" s="146"/>
      <c r="D8" s="146"/>
      <c r="E8" s="146"/>
      <c r="F8" s="146"/>
      <c r="G8" s="146"/>
      <c r="H8" s="146"/>
      <c r="I8" s="144"/>
      <c r="J8" s="6"/>
      <c r="K8" s="157" t="s">
        <v>7</v>
      </c>
      <c r="L8" s="146"/>
      <c r="M8" s="146"/>
      <c r="N8" s="146"/>
      <c r="O8" s="144"/>
      <c r="P8" s="6"/>
      <c r="Q8" s="180" t="s">
        <v>8</v>
      </c>
      <c r="R8" s="146"/>
      <c r="S8" s="144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51</v>
      </c>
      <c r="E9" s="9" t="s">
        <v>52</v>
      </c>
      <c r="F9" s="9" t="s">
        <v>67</v>
      </c>
      <c r="G9" s="9" t="s">
        <v>68</v>
      </c>
      <c r="H9" s="9" t="s">
        <v>12</v>
      </c>
      <c r="I9" s="9" t="s">
        <v>13</v>
      </c>
      <c r="J9" s="10"/>
      <c r="K9" s="9" t="s">
        <v>69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221"/>
      <c r="R9" s="144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69">
        <v>1</v>
      </c>
      <c r="C10" s="163"/>
      <c r="D10" s="164">
        <v>190</v>
      </c>
      <c r="E10" s="164">
        <v>190</v>
      </c>
      <c r="F10" s="244" t="s">
        <v>58</v>
      </c>
      <c r="G10" s="164">
        <v>450</v>
      </c>
      <c r="H10" s="165">
        <v>0.5</v>
      </c>
      <c r="I10" s="164">
        <f>(G10*H10)+G10+E10+D10</f>
        <v>1055</v>
      </c>
      <c r="J10" s="12"/>
      <c r="K10" s="164">
        <v>1330</v>
      </c>
      <c r="L10" s="164">
        <v>1330</v>
      </c>
      <c r="M10" s="164">
        <v>1330</v>
      </c>
      <c r="N10" s="164">
        <v>760</v>
      </c>
      <c r="O10" s="164">
        <f>SUM(K10:N10)</f>
        <v>4750</v>
      </c>
      <c r="P10" s="12"/>
      <c r="Q10" s="232" t="s">
        <v>59</v>
      </c>
      <c r="R10" s="128"/>
      <c r="S10" s="233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48"/>
      <c r="C11" s="148"/>
      <c r="D11" s="148"/>
      <c r="E11" s="148"/>
      <c r="F11" s="148"/>
      <c r="G11" s="148"/>
      <c r="H11" s="148"/>
      <c r="I11" s="148"/>
      <c r="J11" s="12"/>
      <c r="K11" s="148"/>
      <c r="L11" s="148"/>
      <c r="M11" s="148"/>
      <c r="N11" s="148"/>
      <c r="O11" s="148"/>
      <c r="P11" s="12"/>
      <c r="Q11" s="129"/>
      <c r="R11" s="130"/>
      <c r="S11" s="148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171">
        <v>2</v>
      </c>
      <c r="C12" s="171"/>
      <c r="D12" s="172">
        <v>190</v>
      </c>
      <c r="E12" s="172">
        <v>190</v>
      </c>
      <c r="F12" s="245" t="s">
        <v>58</v>
      </c>
      <c r="G12" s="172">
        <v>450</v>
      </c>
      <c r="H12" s="173">
        <v>1</v>
      </c>
      <c r="I12" s="172">
        <f>(G12*H12)+G12+E12+D12</f>
        <v>1280</v>
      </c>
      <c r="J12" s="12"/>
      <c r="K12" s="152"/>
      <c r="L12" s="152"/>
      <c r="M12" s="172"/>
      <c r="N12" s="152"/>
      <c r="O12" s="172">
        <f>SUM(K12:N12)</f>
        <v>0</v>
      </c>
      <c r="P12" s="12"/>
      <c r="Q12" s="232" t="s">
        <v>21</v>
      </c>
      <c r="R12" s="128"/>
      <c r="S12" s="234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48"/>
      <c r="C13" s="148"/>
      <c r="D13" s="148"/>
      <c r="E13" s="148"/>
      <c r="F13" s="148"/>
      <c r="G13" s="148"/>
      <c r="H13" s="148"/>
      <c r="I13" s="148"/>
      <c r="J13" s="12"/>
      <c r="K13" s="148"/>
      <c r="L13" s="148"/>
      <c r="M13" s="148"/>
      <c r="N13" s="148"/>
      <c r="O13" s="148"/>
      <c r="P13" s="12"/>
      <c r="Q13" s="129"/>
      <c r="R13" s="130"/>
      <c r="S13" s="148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4" t="s">
        <v>59</v>
      </c>
      <c r="C14" s="146"/>
      <c r="D14" s="146"/>
      <c r="E14" s="146"/>
      <c r="F14" s="146"/>
      <c r="G14" s="146"/>
      <c r="H14" s="144"/>
      <c r="I14" s="36">
        <f>SUM(I10:I13)</f>
        <v>2335</v>
      </c>
      <c r="J14" s="13"/>
      <c r="K14" s="168" t="s">
        <v>21</v>
      </c>
      <c r="L14" s="146"/>
      <c r="M14" s="146"/>
      <c r="N14" s="144"/>
      <c r="O14" s="15">
        <f>SUM(O10:O13)</f>
        <v>4750</v>
      </c>
      <c r="P14" s="13"/>
      <c r="Q14" s="207" t="s">
        <v>25</v>
      </c>
      <c r="R14" s="144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43" t="s">
        <v>26</v>
      </c>
      <c r="C16" s="146"/>
      <c r="D16" s="144"/>
      <c r="E16" s="17" t="s">
        <v>9</v>
      </c>
      <c r="F16" s="143" t="s">
        <v>27</v>
      </c>
      <c r="G16" s="146"/>
      <c r="H16" s="146"/>
      <c r="I16" s="144"/>
      <c r="J16" s="6"/>
      <c r="K16" s="243" t="s">
        <v>26</v>
      </c>
      <c r="L16" s="228"/>
      <c r="M16" s="38" t="s">
        <v>9</v>
      </c>
      <c r="N16" s="243" t="s">
        <v>27</v>
      </c>
      <c r="O16" s="228"/>
      <c r="P16" s="6"/>
      <c r="Q16" s="226" t="s">
        <v>28</v>
      </c>
      <c r="R16" s="227"/>
      <c r="S16" s="228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212" t="s">
        <v>60</v>
      </c>
      <c r="C17" s="140"/>
      <c r="D17" s="128"/>
      <c r="E17" s="147">
        <f>COUNT(B10:B13)</f>
        <v>2</v>
      </c>
      <c r="F17" s="242" t="s">
        <v>61</v>
      </c>
      <c r="G17" s="140"/>
      <c r="H17" s="140"/>
      <c r="I17" s="128"/>
      <c r="J17" s="19"/>
      <c r="K17" s="236" t="s">
        <v>69</v>
      </c>
      <c r="L17" s="186"/>
      <c r="M17" s="203">
        <f>COUNT(K10:K13)</f>
        <v>1</v>
      </c>
      <c r="N17" s="196" t="s">
        <v>32</v>
      </c>
      <c r="O17" s="191"/>
      <c r="P17" s="19"/>
      <c r="Q17" s="229"/>
      <c r="R17" s="230"/>
      <c r="S17" s="19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29"/>
      <c r="C18" s="141"/>
      <c r="D18" s="130"/>
      <c r="E18" s="148"/>
      <c r="F18" s="150"/>
      <c r="G18" s="178"/>
      <c r="H18" s="178"/>
      <c r="I18" s="151"/>
      <c r="J18" s="19"/>
      <c r="K18" s="187"/>
      <c r="L18" s="188"/>
      <c r="M18" s="195"/>
      <c r="N18" s="197"/>
      <c r="O18" s="151"/>
      <c r="P18" s="19"/>
      <c r="Q18" s="187"/>
      <c r="R18" s="231"/>
      <c r="S18" s="199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210" t="s">
        <v>52</v>
      </c>
      <c r="C19" s="140"/>
      <c r="D19" s="128"/>
      <c r="E19" s="153">
        <f>COUNT(B10:B13)</f>
        <v>2</v>
      </c>
      <c r="F19" s="150"/>
      <c r="G19" s="178"/>
      <c r="H19" s="178"/>
      <c r="I19" s="151"/>
      <c r="J19" s="19"/>
      <c r="K19" s="240" t="s">
        <v>15</v>
      </c>
      <c r="L19" s="186"/>
      <c r="M19" s="201">
        <f>COUNT(L10:L13)</f>
        <v>1</v>
      </c>
      <c r="N19" s="197"/>
      <c r="O19" s="151"/>
      <c r="P19" s="19"/>
      <c r="Q19" s="237"/>
      <c r="R19" s="230"/>
      <c r="S19" s="19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29"/>
      <c r="C20" s="141"/>
      <c r="D20" s="130"/>
      <c r="E20" s="148"/>
      <c r="F20" s="129"/>
      <c r="G20" s="141"/>
      <c r="H20" s="141"/>
      <c r="I20" s="130"/>
      <c r="J20" s="19"/>
      <c r="K20" s="187"/>
      <c r="L20" s="188"/>
      <c r="M20" s="195"/>
      <c r="N20" s="198"/>
      <c r="O20" s="199"/>
      <c r="P20" s="19"/>
      <c r="Q20" s="187"/>
      <c r="R20" s="231"/>
      <c r="S20" s="199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212" t="s">
        <v>35</v>
      </c>
      <c r="C21" s="140"/>
      <c r="D21" s="128"/>
      <c r="E21" s="147">
        <v>0</v>
      </c>
      <c r="F21" s="214" t="s">
        <v>65</v>
      </c>
      <c r="G21" s="140"/>
      <c r="H21" s="140"/>
      <c r="I21" s="128"/>
      <c r="J21" s="19"/>
      <c r="K21" s="236" t="s">
        <v>16</v>
      </c>
      <c r="L21" s="186"/>
      <c r="M21" s="203">
        <f>COUNT(M10:M13)</f>
        <v>1</v>
      </c>
      <c r="N21" s="190" t="s">
        <v>37</v>
      </c>
      <c r="O21" s="230"/>
      <c r="P21" s="20"/>
      <c r="Q21" s="238"/>
      <c r="R21" s="230"/>
      <c r="S21" s="19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29"/>
      <c r="C22" s="141"/>
      <c r="D22" s="130"/>
      <c r="E22" s="148"/>
      <c r="F22" s="150"/>
      <c r="G22" s="178"/>
      <c r="H22" s="178"/>
      <c r="I22" s="151"/>
      <c r="J22" s="19"/>
      <c r="K22" s="187"/>
      <c r="L22" s="188"/>
      <c r="M22" s="195"/>
      <c r="N22" s="178"/>
      <c r="O22" s="178"/>
      <c r="P22" s="20"/>
      <c r="Q22" s="187"/>
      <c r="R22" s="231"/>
      <c r="S22" s="199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210" t="s">
        <v>38</v>
      </c>
      <c r="C23" s="140"/>
      <c r="D23" s="128"/>
      <c r="E23" s="153">
        <v>0</v>
      </c>
      <c r="F23" s="150"/>
      <c r="G23" s="178"/>
      <c r="H23" s="178"/>
      <c r="I23" s="151"/>
      <c r="J23" s="19"/>
      <c r="K23" s="240" t="s">
        <v>17</v>
      </c>
      <c r="L23" s="186"/>
      <c r="M23" s="241">
        <f>COUNT(N10:N13)</f>
        <v>1</v>
      </c>
      <c r="N23" s="178"/>
      <c r="O23" s="178"/>
      <c r="P23" s="20"/>
      <c r="Q23" s="239"/>
      <c r="R23" s="230"/>
      <c r="S23" s="19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29"/>
      <c r="C24" s="141"/>
      <c r="D24" s="130"/>
      <c r="E24" s="148"/>
      <c r="F24" s="129"/>
      <c r="G24" s="141"/>
      <c r="H24" s="141"/>
      <c r="I24" s="130"/>
      <c r="J24" s="39"/>
      <c r="K24" s="187"/>
      <c r="L24" s="188"/>
      <c r="M24" s="195"/>
      <c r="N24" s="178"/>
      <c r="O24" s="178"/>
      <c r="P24" s="20"/>
      <c r="Q24" s="187"/>
      <c r="R24" s="231"/>
      <c r="S24" s="199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212" t="s">
        <v>39</v>
      </c>
      <c r="C25" s="140"/>
      <c r="D25" s="128"/>
      <c r="E25" s="152">
        <f>COUNT(B10:B13)</f>
        <v>2</v>
      </c>
      <c r="F25" s="214" t="s">
        <v>70</v>
      </c>
      <c r="G25" s="140"/>
      <c r="H25" s="140"/>
      <c r="I25" s="128"/>
      <c r="J25" s="39"/>
      <c r="K25" s="236" t="s">
        <v>40</v>
      </c>
      <c r="L25" s="186"/>
      <c r="M25" s="203">
        <v>0</v>
      </c>
      <c r="N25" s="178"/>
      <c r="O25" s="178"/>
      <c r="P25" s="40"/>
      <c r="Q25" s="238"/>
      <c r="R25" s="230"/>
      <c r="S25" s="19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29"/>
      <c r="C26" s="141"/>
      <c r="D26" s="130"/>
      <c r="E26" s="148"/>
      <c r="F26" s="129"/>
      <c r="G26" s="141"/>
      <c r="H26" s="141"/>
      <c r="I26" s="130"/>
      <c r="J26" s="39"/>
      <c r="K26" s="129"/>
      <c r="L26" s="202"/>
      <c r="M26" s="204"/>
      <c r="N26" s="141"/>
      <c r="O26" s="141"/>
      <c r="P26" s="40"/>
      <c r="Q26" s="129"/>
      <c r="R26" s="141"/>
      <c r="S26" s="13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35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77" t="s">
        <v>0</v>
      </c>
      <c r="C3" s="178"/>
      <c r="D3" s="178"/>
      <c r="E3" s="178"/>
      <c r="F3" s="178"/>
      <c r="G3" s="178"/>
      <c r="H3" s="179" t="s">
        <v>41</v>
      </c>
      <c r="I3" s="178"/>
      <c r="J3" s="178"/>
      <c r="K3" s="178"/>
      <c r="L3" s="178"/>
      <c r="M3" s="178"/>
      <c r="N3" s="178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80" t="s">
        <v>2</v>
      </c>
      <c r="C6" s="181"/>
      <c r="D6" s="182"/>
      <c r="E6" s="144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45989</v>
      </c>
      <c r="O6" s="184"/>
      <c r="P6" s="178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43" t="s">
        <v>71</v>
      </c>
      <c r="C8" s="146"/>
      <c r="D8" s="146"/>
      <c r="E8" s="146"/>
      <c r="F8" s="146"/>
      <c r="G8" s="146"/>
      <c r="H8" s="146"/>
      <c r="I8" s="146"/>
      <c r="J8" s="144"/>
      <c r="K8" s="6"/>
      <c r="L8" s="226" t="s">
        <v>8</v>
      </c>
      <c r="M8" s="227"/>
      <c r="N8" s="228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72</v>
      </c>
      <c r="D9" s="9" t="s">
        <v>73</v>
      </c>
      <c r="E9" s="248" t="s">
        <v>12</v>
      </c>
      <c r="F9" s="144"/>
      <c r="G9" s="9" t="s">
        <v>74</v>
      </c>
      <c r="H9" s="9" t="s">
        <v>13</v>
      </c>
      <c r="I9" s="9" t="s">
        <v>75</v>
      </c>
      <c r="J9" s="9" t="s">
        <v>13</v>
      </c>
      <c r="K9" s="10"/>
      <c r="L9" s="221"/>
      <c r="M9" s="144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69">
        <v>1</v>
      </c>
      <c r="C10" s="163" t="s">
        <v>76</v>
      </c>
      <c r="D10" s="164">
        <v>450</v>
      </c>
      <c r="E10" s="249"/>
      <c r="F10" s="128"/>
      <c r="G10" s="155">
        <v>2</v>
      </c>
      <c r="H10" s="164">
        <f>G10*D10</f>
        <v>900</v>
      </c>
      <c r="I10" s="165"/>
      <c r="J10" s="164">
        <f>(H10*E10)+H10</f>
        <v>900</v>
      </c>
      <c r="K10" s="12"/>
      <c r="L10" s="232" t="s">
        <v>77</v>
      </c>
      <c r="M10" s="128"/>
      <c r="N10" s="233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48"/>
      <c r="C11" s="148"/>
      <c r="D11" s="148"/>
      <c r="E11" s="129"/>
      <c r="F11" s="130"/>
      <c r="G11" s="148"/>
      <c r="H11" s="148"/>
      <c r="I11" s="148"/>
      <c r="J11" s="148"/>
      <c r="K11" s="12"/>
      <c r="L11" s="150"/>
      <c r="M11" s="151"/>
      <c r="N11" s="246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171">
        <v>2</v>
      </c>
      <c r="C12" s="171"/>
      <c r="D12" s="172">
        <v>450</v>
      </c>
      <c r="E12" s="247"/>
      <c r="F12" s="128"/>
      <c r="G12" s="152">
        <v>1</v>
      </c>
      <c r="H12" s="172">
        <f>G12*D12</f>
        <v>450</v>
      </c>
      <c r="I12" s="173"/>
      <c r="J12" s="172">
        <f>(H12*E12)+H12</f>
        <v>450</v>
      </c>
      <c r="K12" s="12"/>
      <c r="L12" s="150"/>
      <c r="M12" s="151"/>
      <c r="N12" s="246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48"/>
      <c r="C13" s="148"/>
      <c r="D13" s="148"/>
      <c r="E13" s="129"/>
      <c r="F13" s="130"/>
      <c r="G13" s="148"/>
      <c r="H13" s="148"/>
      <c r="I13" s="148"/>
      <c r="J13" s="148"/>
      <c r="K13" s="12"/>
      <c r="L13" s="129"/>
      <c r="M13" s="130"/>
      <c r="N13" s="148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4" t="s">
        <v>59</v>
      </c>
      <c r="C14" s="146"/>
      <c r="D14" s="146"/>
      <c r="E14" s="146"/>
      <c r="F14" s="146"/>
      <c r="G14" s="146"/>
      <c r="H14" s="144"/>
      <c r="I14" s="42"/>
      <c r="J14" s="36">
        <f>SUM(J10:J13)</f>
        <v>1350</v>
      </c>
      <c r="K14" s="13"/>
      <c r="L14" s="207" t="s">
        <v>25</v>
      </c>
      <c r="M14" s="144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43" t="s">
        <v>26</v>
      </c>
      <c r="C16" s="146"/>
      <c r="D16" s="144"/>
      <c r="E16" s="17" t="s">
        <v>9</v>
      </c>
      <c r="F16" s="143" t="s">
        <v>27</v>
      </c>
      <c r="G16" s="146"/>
      <c r="H16" s="146"/>
      <c r="I16" s="146"/>
      <c r="J16" s="144"/>
      <c r="K16" s="6"/>
      <c r="L16" s="226" t="s">
        <v>28</v>
      </c>
      <c r="M16" s="227"/>
      <c r="N16" s="228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212" t="s">
        <v>51</v>
      </c>
      <c r="C17" s="140"/>
      <c r="D17" s="128"/>
      <c r="E17" s="147">
        <v>0</v>
      </c>
      <c r="F17" s="217" t="s">
        <v>61</v>
      </c>
      <c r="G17" s="140"/>
      <c r="H17" s="140"/>
      <c r="I17" s="140"/>
      <c r="J17" s="128"/>
      <c r="K17" s="19"/>
      <c r="L17" s="229"/>
      <c r="M17" s="230"/>
      <c r="N17" s="19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29"/>
      <c r="C18" s="141"/>
      <c r="D18" s="130"/>
      <c r="E18" s="148"/>
      <c r="F18" s="150"/>
      <c r="G18" s="178"/>
      <c r="H18" s="178"/>
      <c r="I18" s="178"/>
      <c r="J18" s="151"/>
      <c r="K18" s="19"/>
      <c r="L18" s="187"/>
      <c r="M18" s="231"/>
      <c r="N18" s="199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210" t="s">
        <v>78</v>
      </c>
      <c r="C19" s="140"/>
      <c r="D19" s="128"/>
      <c r="E19" s="153">
        <v>0</v>
      </c>
      <c r="F19" s="150"/>
      <c r="G19" s="178"/>
      <c r="H19" s="178"/>
      <c r="I19" s="178"/>
      <c r="J19" s="151"/>
      <c r="K19" s="19"/>
      <c r="L19" s="237"/>
      <c r="M19" s="230"/>
      <c r="N19" s="19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29"/>
      <c r="C20" s="141"/>
      <c r="D20" s="130"/>
      <c r="E20" s="148"/>
      <c r="F20" s="129"/>
      <c r="G20" s="141"/>
      <c r="H20" s="141"/>
      <c r="I20" s="141"/>
      <c r="J20" s="130"/>
      <c r="K20" s="19"/>
      <c r="L20" s="187"/>
      <c r="M20" s="231"/>
      <c r="N20" s="199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212" t="s">
        <v>35</v>
      </c>
      <c r="C21" s="140"/>
      <c r="D21" s="128"/>
      <c r="E21" s="147">
        <v>0</v>
      </c>
      <c r="F21" s="214" t="s">
        <v>65</v>
      </c>
      <c r="G21" s="140"/>
      <c r="H21" s="140"/>
      <c r="I21" s="140"/>
      <c r="J21" s="128"/>
      <c r="K21" s="19"/>
      <c r="L21" s="238"/>
      <c r="M21" s="230"/>
      <c r="N21" s="19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29"/>
      <c r="C22" s="141"/>
      <c r="D22" s="130"/>
      <c r="E22" s="148"/>
      <c r="F22" s="150"/>
      <c r="G22" s="178"/>
      <c r="H22" s="178"/>
      <c r="I22" s="178"/>
      <c r="J22" s="151"/>
      <c r="K22" s="19"/>
      <c r="L22" s="187"/>
      <c r="M22" s="231"/>
      <c r="N22" s="199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210" t="s">
        <v>38</v>
      </c>
      <c r="C23" s="140"/>
      <c r="D23" s="128"/>
      <c r="E23" s="153">
        <v>0</v>
      </c>
      <c r="F23" s="150"/>
      <c r="G23" s="178"/>
      <c r="H23" s="178"/>
      <c r="I23" s="178"/>
      <c r="J23" s="151"/>
      <c r="K23" s="19"/>
      <c r="L23" s="239"/>
      <c r="M23" s="230"/>
      <c r="N23" s="19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29"/>
      <c r="C24" s="141"/>
      <c r="D24" s="130"/>
      <c r="E24" s="148"/>
      <c r="F24" s="129"/>
      <c r="G24" s="141"/>
      <c r="H24" s="141"/>
      <c r="I24" s="141"/>
      <c r="J24" s="130"/>
      <c r="K24" s="39"/>
      <c r="L24" s="187"/>
      <c r="M24" s="231"/>
      <c r="N24" s="199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212" t="s">
        <v>39</v>
      </c>
      <c r="C25" s="140"/>
      <c r="D25" s="128"/>
      <c r="E25" s="152">
        <v>0</v>
      </c>
      <c r="F25" s="214" t="s">
        <v>70</v>
      </c>
      <c r="G25" s="140"/>
      <c r="H25" s="140"/>
      <c r="I25" s="140"/>
      <c r="J25" s="128"/>
      <c r="K25" s="39"/>
      <c r="L25" s="238"/>
      <c r="M25" s="230"/>
      <c r="N25" s="19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29"/>
      <c r="C26" s="141"/>
      <c r="D26" s="130"/>
      <c r="E26" s="148"/>
      <c r="F26" s="129"/>
      <c r="G26" s="141"/>
      <c r="H26" s="141"/>
      <c r="I26" s="141"/>
      <c r="J26" s="130"/>
      <c r="K26" s="39"/>
      <c r="L26" s="129"/>
      <c r="M26" s="141"/>
      <c r="N26" s="13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8"/>
      <c r="K3" s="178"/>
      <c r="L3" s="223" t="s">
        <v>41</v>
      </c>
      <c r="M3" s="178"/>
      <c r="N3" s="178"/>
      <c r="O3" s="178"/>
      <c r="P3" s="178"/>
      <c r="Q3" s="178"/>
      <c r="R3" s="178"/>
      <c r="S3" s="178"/>
      <c r="T3" s="178"/>
      <c r="U3" s="178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67" t="s">
        <v>2</v>
      </c>
      <c r="C6" s="181"/>
      <c r="D6" s="268"/>
      <c r="E6" s="144"/>
      <c r="F6" s="33"/>
      <c r="G6" s="33"/>
      <c r="H6" s="33"/>
      <c r="I6" s="26"/>
      <c r="J6" s="27"/>
      <c r="K6" s="3"/>
      <c r="L6" s="3"/>
      <c r="M6" s="267" t="s">
        <v>3</v>
      </c>
      <c r="N6" s="181"/>
      <c r="O6" s="269" t="s">
        <v>42</v>
      </c>
      <c r="P6" s="144"/>
      <c r="Q6" s="3"/>
      <c r="R6" s="3"/>
      <c r="S6" s="3"/>
      <c r="T6" s="43" t="s">
        <v>5</v>
      </c>
      <c r="U6" s="44">
        <f ca="1">TODAY()</f>
        <v>45989</v>
      </c>
      <c r="V6" s="184"/>
      <c r="W6" s="178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64" t="s">
        <v>79</v>
      </c>
      <c r="C8" s="146"/>
      <c r="D8" s="146"/>
      <c r="E8" s="146"/>
      <c r="F8" s="146"/>
      <c r="G8" s="146"/>
      <c r="H8" s="146"/>
      <c r="I8" s="146"/>
      <c r="J8" s="146"/>
      <c r="K8" s="144"/>
      <c r="L8" s="6"/>
      <c r="M8" s="157" t="s">
        <v>7</v>
      </c>
      <c r="N8" s="146"/>
      <c r="O8" s="146"/>
      <c r="P8" s="146"/>
      <c r="Q8" s="144"/>
      <c r="R8" s="6"/>
      <c r="S8" s="226" t="s">
        <v>8</v>
      </c>
      <c r="T8" s="227"/>
      <c r="U8" s="228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51</v>
      </c>
      <c r="E9" s="9" t="s">
        <v>80</v>
      </c>
      <c r="F9" s="9" t="s">
        <v>54</v>
      </c>
      <c r="G9" s="9" t="s">
        <v>53</v>
      </c>
      <c r="H9" s="9" t="s">
        <v>67</v>
      </c>
      <c r="I9" s="9" t="s">
        <v>81</v>
      </c>
      <c r="J9" s="9" t="s">
        <v>12</v>
      </c>
      <c r="K9" s="9" t="s">
        <v>13</v>
      </c>
      <c r="L9" s="10"/>
      <c r="M9" s="9" t="s">
        <v>69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69">
        <v>1</v>
      </c>
      <c r="C10" s="265" t="s">
        <v>82</v>
      </c>
      <c r="D10" s="164">
        <v>190</v>
      </c>
      <c r="E10" s="164">
        <f>16*190</f>
        <v>3040</v>
      </c>
      <c r="F10" s="164">
        <f>90*18</f>
        <v>1620</v>
      </c>
      <c r="G10" s="164">
        <v>190</v>
      </c>
      <c r="H10" s="164">
        <f>190*2</f>
        <v>380</v>
      </c>
      <c r="I10" s="164">
        <f>F10</f>
        <v>1620</v>
      </c>
      <c r="J10" s="165"/>
      <c r="K10" s="164">
        <f>(I10*J10)+I10+E10+D10+F10</f>
        <v>6470</v>
      </c>
      <c r="L10" s="12"/>
      <c r="M10" s="164">
        <v>1330</v>
      </c>
      <c r="N10" s="164">
        <v>1330</v>
      </c>
      <c r="O10" s="164">
        <v>1330</v>
      </c>
      <c r="P10" s="164">
        <v>760</v>
      </c>
      <c r="Q10" s="164">
        <f>SUM(M10:P10)</f>
        <v>4750</v>
      </c>
      <c r="R10" s="12"/>
      <c r="S10" s="232" t="s">
        <v>59</v>
      </c>
      <c r="T10" s="128"/>
      <c r="U10" s="266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2"/>
      <c r="M11" s="148"/>
      <c r="N11" s="148"/>
      <c r="O11" s="148"/>
      <c r="P11" s="148"/>
      <c r="Q11" s="148"/>
      <c r="R11" s="12"/>
      <c r="S11" s="129"/>
      <c r="T11" s="130"/>
      <c r="U11" s="148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71">
        <v>2</v>
      </c>
      <c r="C12" s="258"/>
      <c r="D12" s="172">
        <v>190</v>
      </c>
      <c r="E12" s="172">
        <v>190</v>
      </c>
      <c r="F12" s="172">
        <f>12*90</f>
        <v>1080</v>
      </c>
      <c r="G12" s="172" t="s">
        <v>58</v>
      </c>
      <c r="H12" s="172" t="s">
        <v>58</v>
      </c>
      <c r="I12" s="172">
        <v>450</v>
      </c>
      <c r="J12" s="173">
        <v>0.25</v>
      </c>
      <c r="K12" s="172">
        <f>(I12*J12)+I12+E12+D12</f>
        <v>942.5</v>
      </c>
      <c r="L12" s="12"/>
      <c r="M12" s="152"/>
      <c r="N12" s="152"/>
      <c r="O12" s="172"/>
      <c r="P12" s="152"/>
      <c r="Q12" s="172">
        <f>SUM(M12:P12)</f>
        <v>0</v>
      </c>
      <c r="R12" s="12"/>
      <c r="S12" s="259" t="s">
        <v>21</v>
      </c>
      <c r="T12" s="128"/>
      <c r="U12" s="234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2"/>
      <c r="M13" s="148"/>
      <c r="N13" s="148"/>
      <c r="O13" s="148"/>
      <c r="P13" s="148"/>
      <c r="Q13" s="148"/>
      <c r="R13" s="12"/>
      <c r="S13" s="129"/>
      <c r="T13" s="130"/>
      <c r="U13" s="148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63" t="s">
        <v>83</v>
      </c>
      <c r="C14" s="146"/>
      <c r="D14" s="146"/>
      <c r="E14" s="146"/>
      <c r="F14" s="146"/>
      <c r="G14" s="146"/>
      <c r="H14" s="146"/>
      <c r="I14" s="146"/>
      <c r="J14" s="144"/>
      <c r="K14" s="29">
        <f>SUM(K10:K13)</f>
        <v>7412.5</v>
      </c>
      <c r="L14" s="13"/>
      <c r="M14" s="168" t="s">
        <v>21</v>
      </c>
      <c r="N14" s="146"/>
      <c r="O14" s="146"/>
      <c r="P14" s="144"/>
      <c r="Q14" s="30">
        <f>SUM(Q10:Q13)</f>
        <v>4750</v>
      </c>
      <c r="R14" s="13"/>
      <c r="S14" s="260" t="s">
        <v>25</v>
      </c>
      <c r="T14" s="141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57" t="s">
        <v>26</v>
      </c>
      <c r="C16" s="146"/>
      <c r="D16" s="144"/>
      <c r="E16" s="50" t="s">
        <v>9</v>
      </c>
      <c r="F16" s="257" t="s">
        <v>84</v>
      </c>
      <c r="G16" s="144"/>
      <c r="H16" s="257" t="s">
        <v>27</v>
      </c>
      <c r="I16" s="146"/>
      <c r="J16" s="146"/>
      <c r="K16" s="144"/>
      <c r="L16" s="51"/>
      <c r="M16" s="261" t="s">
        <v>26</v>
      </c>
      <c r="N16" s="144"/>
      <c r="O16" s="52" t="s">
        <v>9</v>
      </c>
      <c r="P16" s="261" t="s">
        <v>27</v>
      </c>
      <c r="Q16" s="144"/>
      <c r="R16" s="51"/>
      <c r="S16" s="262" t="s">
        <v>28</v>
      </c>
      <c r="T16" s="146"/>
      <c r="U16" s="144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212" t="s">
        <v>60</v>
      </c>
      <c r="C17" s="140"/>
      <c r="D17" s="128"/>
      <c r="E17" s="213">
        <f>COUNT(B10:B13)</f>
        <v>2</v>
      </c>
      <c r="F17" s="254" t="s">
        <v>85</v>
      </c>
      <c r="G17" s="128"/>
      <c r="H17" s="217" t="s">
        <v>61</v>
      </c>
      <c r="I17" s="140"/>
      <c r="J17" s="140"/>
      <c r="K17" s="128"/>
      <c r="L17" s="19"/>
      <c r="M17" s="156" t="s">
        <v>69</v>
      </c>
      <c r="N17" s="128"/>
      <c r="O17" s="171">
        <f>COUNT(M10:M13)</f>
        <v>1</v>
      </c>
      <c r="P17" s="149" t="s">
        <v>32</v>
      </c>
      <c r="Q17" s="128"/>
      <c r="R17" s="19"/>
      <c r="S17" s="252"/>
      <c r="T17" s="140"/>
      <c r="U17" s="128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29"/>
      <c r="C18" s="141"/>
      <c r="D18" s="130"/>
      <c r="E18" s="148"/>
      <c r="F18" s="129"/>
      <c r="G18" s="130"/>
      <c r="H18" s="150"/>
      <c r="I18" s="178"/>
      <c r="J18" s="178"/>
      <c r="K18" s="151"/>
      <c r="L18" s="19"/>
      <c r="M18" s="129"/>
      <c r="N18" s="130"/>
      <c r="O18" s="148"/>
      <c r="P18" s="150"/>
      <c r="Q18" s="151"/>
      <c r="R18" s="19"/>
      <c r="S18" s="129"/>
      <c r="T18" s="141"/>
      <c r="U18" s="130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210" t="s">
        <v>52</v>
      </c>
      <c r="C19" s="140"/>
      <c r="D19" s="128"/>
      <c r="E19" s="169">
        <f>COUNT(B10:B13)</f>
        <v>2</v>
      </c>
      <c r="F19" s="255" t="s">
        <v>86</v>
      </c>
      <c r="G19" s="128"/>
      <c r="H19" s="150"/>
      <c r="I19" s="178"/>
      <c r="J19" s="178"/>
      <c r="K19" s="151"/>
      <c r="L19" s="19"/>
      <c r="M19" s="154" t="s">
        <v>15</v>
      </c>
      <c r="N19" s="128"/>
      <c r="O19" s="169">
        <f>COUNT(N10:N13)</f>
        <v>1</v>
      </c>
      <c r="P19" s="150"/>
      <c r="Q19" s="151"/>
      <c r="R19" s="19"/>
      <c r="S19" s="253"/>
      <c r="T19" s="140"/>
      <c r="U19" s="128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29"/>
      <c r="C20" s="141"/>
      <c r="D20" s="130"/>
      <c r="E20" s="148"/>
      <c r="F20" s="129"/>
      <c r="G20" s="130"/>
      <c r="H20" s="129"/>
      <c r="I20" s="141"/>
      <c r="J20" s="141"/>
      <c r="K20" s="130"/>
      <c r="L20" s="19"/>
      <c r="M20" s="129"/>
      <c r="N20" s="130"/>
      <c r="O20" s="148"/>
      <c r="P20" s="129"/>
      <c r="Q20" s="130"/>
      <c r="R20" s="19"/>
      <c r="S20" s="129"/>
      <c r="T20" s="141"/>
      <c r="U20" s="130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212" t="s">
        <v>35</v>
      </c>
      <c r="C21" s="140"/>
      <c r="D21" s="128"/>
      <c r="E21" s="213">
        <v>0</v>
      </c>
      <c r="F21" s="256" t="s">
        <v>87</v>
      </c>
      <c r="G21" s="128"/>
      <c r="H21" s="214" t="s">
        <v>88</v>
      </c>
      <c r="I21" s="140"/>
      <c r="J21" s="140"/>
      <c r="K21" s="128"/>
      <c r="L21" s="19"/>
      <c r="M21" s="156" t="s">
        <v>16</v>
      </c>
      <c r="N21" s="128"/>
      <c r="O21" s="171">
        <f>COUNT(O10:O13)</f>
        <v>1</v>
      </c>
      <c r="P21" s="149" t="s">
        <v>37</v>
      </c>
      <c r="Q21" s="128"/>
      <c r="R21" s="19"/>
      <c r="S21" s="251"/>
      <c r="T21" s="140"/>
      <c r="U21" s="128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29"/>
      <c r="C22" s="141"/>
      <c r="D22" s="130"/>
      <c r="E22" s="148"/>
      <c r="F22" s="129"/>
      <c r="G22" s="130"/>
      <c r="H22" s="150"/>
      <c r="I22" s="178"/>
      <c r="J22" s="178"/>
      <c r="K22" s="151"/>
      <c r="L22" s="19"/>
      <c r="M22" s="129"/>
      <c r="N22" s="130"/>
      <c r="O22" s="148"/>
      <c r="P22" s="150"/>
      <c r="Q22" s="151"/>
      <c r="R22" s="19"/>
      <c r="S22" s="129"/>
      <c r="T22" s="141"/>
      <c r="U22" s="130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210" t="s">
        <v>89</v>
      </c>
      <c r="C23" s="140"/>
      <c r="D23" s="128"/>
      <c r="E23" s="169">
        <v>0</v>
      </c>
      <c r="F23" s="255" t="s">
        <v>90</v>
      </c>
      <c r="G23" s="128"/>
      <c r="H23" s="150"/>
      <c r="I23" s="178"/>
      <c r="J23" s="178"/>
      <c r="K23" s="151"/>
      <c r="L23" s="19"/>
      <c r="M23" s="154" t="s">
        <v>17</v>
      </c>
      <c r="N23" s="128"/>
      <c r="O23" s="163">
        <f>COUNT(P10:P13)</f>
        <v>1</v>
      </c>
      <c r="P23" s="150"/>
      <c r="Q23" s="151"/>
      <c r="R23" s="19"/>
      <c r="S23" s="250"/>
      <c r="T23" s="140"/>
      <c r="U23" s="128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29"/>
      <c r="C24" s="141"/>
      <c r="D24" s="130"/>
      <c r="E24" s="148"/>
      <c r="F24" s="129"/>
      <c r="G24" s="130"/>
      <c r="H24" s="150"/>
      <c r="I24" s="178"/>
      <c r="J24" s="178"/>
      <c r="K24" s="151"/>
      <c r="L24" s="19"/>
      <c r="M24" s="129"/>
      <c r="N24" s="130"/>
      <c r="O24" s="148"/>
      <c r="P24" s="150"/>
      <c r="Q24" s="151"/>
      <c r="R24" s="19"/>
      <c r="S24" s="129"/>
      <c r="T24" s="141"/>
      <c r="U24" s="130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212" t="s">
        <v>39</v>
      </c>
      <c r="C25" s="140"/>
      <c r="D25" s="128"/>
      <c r="E25" s="171">
        <f>COUNT(B10:B13)</f>
        <v>2</v>
      </c>
      <c r="F25" s="256" t="s">
        <v>91</v>
      </c>
      <c r="G25" s="128"/>
      <c r="H25" s="150"/>
      <c r="I25" s="178"/>
      <c r="J25" s="178"/>
      <c r="K25" s="151"/>
      <c r="L25" s="19"/>
      <c r="M25" s="156" t="s">
        <v>40</v>
      </c>
      <c r="N25" s="128"/>
      <c r="O25" s="171">
        <v>0</v>
      </c>
      <c r="P25" s="150"/>
      <c r="Q25" s="151"/>
      <c r="R25" s="19"/>
      <c r="S25" s="251"/>
      <c r="T25" s="140"/>
      <c r="U25" s="128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29"/>
      <c r="C26" s="141"/>
      <c r="D26" s="130"/>
      <c r="E26" s="148"/>
      <c r="F26" s="129"/>
      <c r="G26" s="130"/>
      <c r="H26" s="129"/>
      <c r="I26" s="141"/>
      <c r="J26" s="141"/>
      <c r="K26" s="130"/>
      <c r="L26" s="19"/>
      <c r="M26" s="129"/>
      <c r="N26" s="130"/>
      <c r="O26" s="148"/>
      <c r="P26" s="129"/>
      <c r="Q26" s="130"/>
      <c r="R26" s="19"/>
      <c r="S26" s="129"/>
      <c r="T26" s="141"/>
      <c r="U26" s="130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E21:E22"/>
    <mergeCell ref="F21:G22"/>
    <mergeCell ref="S12:T13"/>
    <mergeCell ref="U12:U13"/>
    <mergeCell ref="S14:T14"/>
    <mergeCell ref="M14:P14"/>
    <mergeCell ref="O12:O13"/>
    <mergeCell ref="P12:P13"/>
    <mergeCell ref="M16:N16"/>
    <mergeCell ref="P16:Q16"/>
    <mergeCell ref="S16:U16"/>
    <mergeCell ref="F12:F13"/>
    <mergeCell ref="G12:G13"/>
    <mergeCell ref="B14:J14"/>
    <mergeCell ref="B16:D16"/>
    <mergeCell ref="F16:G16"/>
    <mergeCell ref="H16:K16"/>
    <mergeCell ref="B12:B13"/>
    <mergeCell ref="C12:C13"/>
    <mergeCell ref="D12:D13"/>
    <mergeCell ref="E12:E13"/>
    <mergeCell ref="B25:D26"/>
    <mergeCell ref="E17:E18"/>
    <mergeCell ref="F17:G18"/>
    <mergeCell ref="H17:K20"/>
    <mergeCell ref="M17:N18"/>
    <mergeCell ref="H21:K26"/>
    <mergeCell ref="E23:E24"/>
    <mergeCell ref="F23:G24"/>
    <mergeCell ref="B17:D18"/>
    <mergeCell ref="B19:D20"/>
    <mergeCell ref="B21:D22"/>
    <mergeCell ref="B23:D24"/>
    <mergeCell ref="E25:E26"/>
    <mergeCell ref="F25:G26"/>
    <mergeCell ref="E19:E20"/>
    <mergeCell ref="F19:G20"/>
    <mergeCell ref="O17:O18"/>
    <mergeCell ref="P17:Q20"/>
    <mergeCell ref="S17:U18"/>
    <mergeCell ref="S19:U20"/>
    <mergeCell ref="S21:U22"/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92</v>
      </c>
      <c r="B1" s="55"/>
      <c r="C1" s="54" t="s">
        <v>93</v>
      </c>
      <c r="D1" s="283"/>
      <c r="E1" s="141"/>
      <c r="F1" s="141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45989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284" t="s">
        <v>95</v>
      </c>
      <c r="F6" s="178"/>
      <c r="G6" s="56" t="s">
        <v>96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72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97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98</v>
      </c>
      <c r="C9" s="64" t="s">
        <v>99</v>
      </c>
      <c r="D9" s="65"/>
      <c r="E9" s="66" t="s">
        <v>100</v>
      </c>
      <c r="F9" s="67" t="s">
        <v>101</v>
      </c>
      <c r="G9" s="67" t="s">
        <v>12</v>
      </c>
      <c r="H9" s="64" t="s">
        <v>13</v>
      </c>
      <c r="I9" s="68"/>
      <c r="J9" s="67" t="s">
        <v>102</v>
      </c>
      <c r="K9" s="67" t="s">
        <v>101</v>
      </c>
      <c r="L9" s="67" t="s">
        <v>12</v>
      </c>
      <c r="M9" s="67" t="s">
        <v>13</v>
      </c>
      <c r="N9" s="69"/>
      <c r="O9" s="67" t="s">
        <v>103</v>
      </c>
      <c r="P9" s="67" t="s">
        <v>104</v>
      </c>
      <c r="Q9" s="67" t="s">
        <v>105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106</v>
      </c>
      <c r="C10" s="71">
        <v>950</v>
      </c>
      <c r="D10" s="72"/>
      <c r="E10" s="277">
        <v>70</v>
      </c>
      <c r="F10" s="73">
        <v>5</v>
      </c>
      <c r="G10" s="74">
        <v>0.5</v>
      </c>
      <c r="H10" s="75">
        <v>525</v>
      </c>
      <c r="I10" s="76"/>
      <c r="J10" s="277">
        <v>70</v>
      </c>
      <c r="K10" s="70">
        <v>5</v>
      </c>
      <c r="L10" s="77">
        <v>0.5</v>
      </c>
      <c r="M10" s="75">
        <v>525</v>
      </c>
      <c r="N10" s="56"/>
      <c r="O10" s="277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76</v>
      </c>
      <c r="C11" s="80">
        <v>950</v>
      </c>
      <c r="D11" s="72"/>
      <c r="E11" s="148"/>
      <c r="F11" s="79">
        <v>5</v>
      </c>
      <c r="G11" s="81">
        <v>0.25</v>
      </c>
      <c r="H11" s="82">
        <f>(E10*G11)+E10*F11</f>
        <v>367.5</v>
      </c>
      <c r="I11" s="76"/>
      <c r="J11" s="148"/>
      <c r="K11" s="79">
        <v>5</v>
      </c>
      <c r="L11" s="81"/>
      <c r="M11" s="82">
        <f>(J10*L11)+J10*K11</f>
        <v>350</v>
      </c>
      <c r="N11" s="56"/>
      <c r="O11" s="148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80" t="s">
        <v>107</v>
      </c>
      <c r="B12" s="144"/>
      <c r="C12" s="83">
        <f>SUM(C9:C11)</f>
        <v>1900</v>
      </c>
      <c r="D12" s="56"/>
      <c r="E12" s="280" t="s">
        <v>108</v>
      </c>
      <c r="F12" s="146"/>
      <c r="G12" s="144"/>
      <c r="H12" s="83">
        <f>SUM(H10:H11)</f>
        <v>892.5</v>
      </c>
      <c r="I12" s="56"/>
      <c r="J12" s="280" t="s">
        <v>109</v>
      </c>
      <c r="K12" s="146"/>
      <c r="L12" s="144"/>
      <c r="M12" s="83">
        <f>SUM(M9:M11)</f>
        <v>875</v>
      </c>
      <c r="N12" s="56"/>
      <c r="O12" s="280" t="s">
        <v>110</v>
      </c>
      <c r="P12" s="144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282" t="s">
        <v>111</v>
      </c>
      <c r="F14" s="178"/>
      <c r="G14" s="178"/>
      <c r="H14" s="178"/>
      <c r="I14" s="56"/>
      <c r="J14" s="56"/>
      <c r="K14" s="56"/>
      <c r="L14" s="56"/>
      <c r="M14" s="56"/>
      <c r="N14" s="56"/>
      <c r="O14" s="282" t="s">
        <v>112</v>
      </c>
      <c r="P14" s="178"/>
      <c r="Q14" s="178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78"/>
      <c r="F15" s="178"/>
      <c r="G15" s="178"/>
      <c r="H15" s="178"/>
      <c r="I15" s="56"/>
      <c r="J15" s="56"/>
      <c r="K15" s="56"/>
      <c r="L15" s="56"/>
      <c r="M15" s="56"/>
      <c r="N15" s="56"/>
      <c r="O15" s="178"/>
      <c r="P15" s="178"/>
      <c r="Q15" s="178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78"/>
      <c r="P16" s="178"/>
      <c r="Q16" s="178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285" t="s">
        <v>113</v>
      </c>
      <c r="B19" s="146"/>
      <c r="C19" s="146"/>
      <c r="D19" s="146"/>
      <c r="E19" s="146"/>
      <c r="F19" s="144"/>
      <c r="G19" s="62"/>
      <c r="H19" s="62"/>
      <c r="I19" s="62"/>
      <c r="J19" s="286" t="s">
        <v>114</v>
      </c>
      <c r="K19" s="144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98</v>
      </c>
      <c r="C20" s="87" t="s">
        <v>115</v>
      </c>
      <c r="D20" s="87" t="s">
        <v>73</v>
      </c>
      <c r="E20" s="87" t="s">
        <v>13</v>
      </c>
      <c r="F20" s="87" t="s">
        <v>116</v>
      </c>
      <c r="G20" s="88"/>
      <c r="H20" s="88"/>
      <c r="I20" s="89"/>
      <c r="J20" s="287">
        <v>665</v>
      </c>
      <c r="K20" s="128"/>
      <c r="L20" s="73" t="s">
        <v>117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50"/>
      <c r="K21" s="151"/>
      <c r="L21" s="73" t="s">
        <v>118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29"/>
      <c r="K22" s="130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81" t="s">
        <v>119</v>
      </c>
      <c r="B23" s="141"/>
      <c r="C23" s="141"/>
      <c r="D23" s="202"/>
      <c r="E23" s="93">
        <f>SUM(E21:E22)</f>
        <v>4050</v>
      </c>
      <c r="F23" s="94"/>
      <c r="G23" s="95"/>
      <c r="H23" s="96"/>
      <c r="I23" s="96"/>
      <c r="J23" s="280" t="s">
        <v>120</v>
      </c>
      <c r="K23" s="146"/>
      <c r="L23" s="144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78" t="s">
        <v>121</v>
      </c>
      <c r="B26" s="146"/>
      <c r="C26" s="144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79" t="s">
        <v>94</v>
      </c>
      <c r="B27" s="146"/>
      <c r="C27" s="14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71" t="s">
        <v>107</v>
      </c>
      <c r="B28" s="178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71" t="s">
        <v>108</v>
      </c>
      <c r="B29" s="178"/>
      <c r="C29" s="100">
        <f>H12</f>
        <v>892.5</v>
      </c>
      <c r="D29" s="275" t="s">
        <v>122</v>
      </c>
      <c r="E29" s="178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71" t="s">
        <v>123</v>
      </c>
      <c r="B30" s="178"/>
      <c r="C30" s="100">
        <f>M12</f>
        <v>875</v>
      </c>
      <c r="D30" s="275" t="s">
        <v>122</v>
      </c>
      <c r="E30" s="178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71" t="s">
        <v>110</v>
      </c>
      <c r="B31" s="178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71" t="s">
        <v>114</v>
      </c>
      <c r="B32" s="178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72" t="s">
        <v>124</v>
      </c>
      <c r="B33" s="178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73"/>
      <c r="B34" s="141"/>
      <c r="C34" s="130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74" t="s">
        <v>125</v>
      </c>
      <c r="B35" s="146"/>
      <c r="C35" s="144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71" t="s">
        <v>126</v>
      </c>
      <c r="B36" s="178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71" t="s">
        <v>127</v>
      </c>
      <c r="B37" s="178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76"/>
      <c r="B38" s="178"/>
      <c r="C38" s="151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72" t="s">
        <v>25</v>
      </c>
      <c r="B39" s="178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76"/>
      <c r="B40" s="178"/>
      <c r="C40" s="151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70" t="s">
        <v>128</v>
      </c>
      <c r="B41" s="141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77" t="s">
        <v>0</v>
      </c>
      <c r="C3" s="178"/>
      <c r="D3" s="178"/>
      <c r="E3" s="178"/>
      <c r="F3" s="178"/>
      <c r="G3" s="178"/>
      <c r="H3" s="178"/>
      <c r="I3" s="178"/>
      <c r="J3" s="178"/>
      <c r="K3" s="223" t="s">
        <v>41</v>
      </c>
      <c r="L3" s="178"/>
      <c r="M3" s="178"/>
      <c r="N3" s="178"/>
      <c r="O3" s="178"/>
      <c r="P3" s="178"/>
      <c r="Q3" s="178"/>
      <c r="R3" s="178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80" t="s">
        <v>2</v>
      </c>
      <c r="C6" s="181"/>
      <c r="D6" s="182"/>
      <c r="E6" s="144"/>
      <c r="F6" s="26"/>
      <c r="G6" s="34"/>
      <c r="H6" s="3"/>
      <c r="I6" s="3"/>
      <c r="J6" s="180" t="s">
        <v>3</v>
      </c>
      <c r="K6" s="181"/>
      <c r="L6" s="183" t="s">
        <v>42</v>
      </c>
      <c r="M6" s="144"/>
      <c r="N6" s="3"/>
      <c r="O6" s="3"/>
      <c r="P6" s="3"/>
      <c r="Q6" s="4" t="s">
        <v>5</v>
      </c>
      <c r="R6" s="5">
        <f ca="1">TODAY()</f>
        <v>45989</v>
      </c>
      <c r="S6" s="184"/>
      <c r="T6" s="178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334" t="s">
        <v>129</v>
      </c>
      <c r="C8" s="227"/>
      <c r="D8" s="227"/>
      <c r="E8" s="227"/>
      <c r="F8" s="227"/>
      <c r="G8" s="227"/>
      <c r="H8" s="228"/>
      <c r="I8" s="6"/>
      <c r="J8" s="312" t="s">
        <v>130</v>
      </c>
      <c r="K8" s="227"/>
      <c r="L8" s="227"/>
      <c r="M8" s="227"/>
      <c r="N8" s="228"/>
      <c r="O8" s="6"/>
      <c r="P8" s="226" t="s">
        <v>8</v>
      </c>
      <c r="Q8" s="227"/>
      <c r="R8" s="22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131</v>
      </c>
      <c r="E9" s="115" t="s">
        <v>98</v>
      </c>
      <c r="F9" s="114" t="s">
        <v>132</v>
      </c>
      <c r="G9" s="114" t="s">
        <v>133</v>
      </c>
      <c r="H9" s="116" t="s">
        <v>13</v>
      </c>
      <c r="I9" s="10"/>
      <c r="J9" s="117" t="s">
        <v>134</v>
      </c>
      <c r="K9" s="114" t="s">
        <v>103</v>
      </c>
      <c r="L9" s="114" t="s">
        <v>135</v>
      </c>
      <c r="M9" s="114" t="s">
        <v>136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16">
        <v>1</v>
      </c>
      <c r="C10" s="241" t="s">
        <v>137</v>
      </c>
      <c r="D10" s="306" t="s">
        <v>138</v>
      </c>
      <c r="E10" s="317" t="s">
        <v>139</v>
      </c>
      <c r="F10" s="306">
        <v>77</v>
      </c>
      <c r="G10" s="241">
        <v>100</v>
      </c>
      <c r="H10" s="307">
        <f>G10*F10</f>
        <v>7700</v>
      </c>
      <c r="I10" s="12"/>
      <c r="J10" s="304">
        <v>425</v>
      </c>
      <c r="K10" s="306">
        <v>650</v>
      </c>
      <c r="L10" s="306">
        <v>950</v>
      </c>
      <c r="M10" s="306">
        <v>650</v>
      </c>
      <c r="N10" s="307">
        <f>SUM(J10:M10)</f>
        <v>2675</v>
      </c>
      <c r="O10" s="12"/>
      <c r="P10" s="300" t="s">
        <v>140</v>
      </c>
      <c r="Q10" s="230"/>
      <c r="R10" s="331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05"/>
      <c r="C11" s="195"/>
      <c r="D11" s="195"/>
      <c r="E11" s="198"/>
      <c r="F11" s="195"/>
      <c r="G11" s="195"/>
      <c r="H11" s="308"/>
      <c r="I11" s="12"/>
      <c r="J11" s="305"/>
      <c r="K11" s="195"/>
      <c r="L11" s="195"/>
      <c r="M11" s="195"/>
      <c r="N11" s="308"/>
      <c r="O11" s="12"/>
      <c r="P11" s="150"/>
      <c r="Q11" s="178"/>
      <c r="R11" s="332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18">
        <v>2</v>
      </c>
      <c r="C12" s="203" t="s">
        <v>141</v>
      </c>
      <c r="D12" s="319" t="s">
        <v>138</v>
      </c>
      <c r="E12" s="320" t="s">
        <v>142</v>
      </c>
      <c r="F12" s="319">
        <v>59</v>
      </c>
      <c r="G12" s="203">
        <v>100</v>
      </c>
      <c r="H12" s="311">
        <f>G12*F12</f>
        <v>5900</v>
      </c>
      <c r="I12" s="12"/>
      <c r="J12" s="329">
        <v>425</v>
      </c>
      <c r="K12" s="319">
        <v>650</v>
      </c>
      <c r="L12" s="319">
        <v>950</v>
      </c>
      <c r="M12" s="289"/>
      <c r="N12" s="311">
        <f>SUM(J12:M13)</f>
        <v>2025</v>
      </c>
      <c r="O12" s="12"/>
      <c r="P12" s="150"/>
      <c r="Q12" s="178"/>
      <c r="R12" s="332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05"/>
      <c r="C13" s="195"/>
      <c r="D13" s="195"/>
      <c r="E13" s="321"/>
      <c r="F13" s="195"/>
      <c r="G13" s="195"/>
      <c r="H13" s="308"/>
      <c r="I13" s="12"/>
      <c r="J13" s="305"/>
      <c r="K13" s="195"/>
      <c r="L13" s="195"/>
      <c r="M13" s="195"/>
      <c r="N13" s="308"/>
      <c r="O13" s="12"/>
      <c r="P13" s="187"/>
      <c r="Q13" s="231"/>
      <c r="R13" s="333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16">
        <v>3</v>
      </c>
      <c r="C14" s="241" t="s">
        <v>143</v>
      </c>
      <c r="D14" s="306" t="s">
        <v>144</v>
      </c>
      <c r="E14" s="317" t="s">
        <v>145</v>
      </c>
      <c r="F14" s="306">
        <v>51</v>
      </c>
      <c r="G14" s="241">
        <v>100</v>
      </c>
      <c r="H14" s="307">
        <f>G14*F14</f>
        <v>5100</v>
      </c>
      <c r="I14" s="12"/>
      <c r="J14" s="304">
        <v>425</v>
      </c>
      <c r="K14" s="306">
        <v>650</v>
      </c>
      <c r="L14" s="306">
        <v>950</v>
      </c>
      <c r="M14" s="289"/>
      <c r="N14" s="307">
        <f>SUM(J14:M15)</f>
        <v>2025</v>
      </c>
      <c r="O14" s="12"/>
      <c r="P14" s="300" t="s">
        <v>146</v>
      </c>
      <c r="Q14" s="186"/>
      <c r="R14" s="309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05"/>
      <c r="C15" s="195"/>
      <c r="D15" s="195"/>
      <c r="E15" s="198"/>
      <c r="F15" s="195"/>
      <c r="G15" s="195"/>
      <c r="H15" s="308"/>
      <c r="I15" s="12"/>
      <c r="J15" s="305"/>
      <c r="K15" s="195"/>
      <c r="L15" s="195"/>
      <c r="M15" s="195"/>
      <c r="N15" s="308"/>
      <c r="O15" s="12"/>
      <c r="P15" s="150"/>
      <c r="Q15" s="301"/>
      <c r="R15" s="310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18">
        <v>4</v>
      </c>
      <c r="C16" s="203" t="s">
        <v>147</v>
      </c>
      <c r="D16" s="319" t="s">
        <v>144</v>
      </c>
      <c r="E16" s="320" t="s">
        <v>148</v>
      </c>
      <c r="F16" s="319">
        <v>75</v>
      </c>
      <c r="G16" s="203">
        <v>100</v>
      </c>
      <c r="H16" s="311">
        <f>G16*F16</f>
        <v>7500</v>
      </c>
      <c r="I16" s="12"/>
      <c r="J16" s="329">
        <v>425</v>
      </c>
      <c r="K16" s="319">
        <v>650</v>
      </c>
      <c r="L16" s="319">
        <v>950</v>
      </c>
      <c r="M16" s="289"/>
      <c r="N16" s="311">
        <f>SUM(J16:M17)</f>
        <v>2025</v>
      </c>
      <c r="O16" s="12"/>
      <c r="P16" s="150"/>
      <c r="Q16" s="301"/>
      <c r="R16" s="310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05"/>
      <c r="C17" s="195"/>
      <c r="D17" s="195"/>
      <c r="E17" s="321"/>
      <c r="F17" s="195"/>
      <c r="G17" s="195"/>
      <c r="H17" s="308"/>
      <c r="I17" s="121"/>
      <c r="J17" s="305"/>
      <c r="K17" s="195"/>
      <c r="L17" s="195"/>
      <c r="M17" s="195"/>
      <c r="N17" s="308"/>
      <c r="O17" s="121"/>
      <c r="P17" s="187"/>
      <c r="Q17" s="188"/>
      <c r="R17" s="308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22" t="s">
        <v>140</v>
      </c>
      <c r="C18" s="323"/>
      <c r="D18" s="323"/>
      <c r="E18" s="323"/>
      <c r="F18" s="323"/>
      <c r="G18" s="324"/>
      <c r="H18" s="122">
        <f>SUM(H10:H17)</f>
        <v>26200</v>
      </c>
      <c r="I18" s="13"/>
      <c r="J18" s="260" t="s">
        <v>149</v>
      </c>
      <c r="K18" s="141"/>
      <c r="L18" s="141"/>
      <c r="M18" s="141"/>
      <c r="N18" s="123">
        <f>SUM(N10:N17)</f>
        <v>8750</v>
      </c>
      <c r="O18" s="13"/>
      <c r="P18" s="302" t="s">
        <v>25</v>
      </c>
      <c r="Q18" s="303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25" t="s">
        <v>26</v>
      </c>
      <c r="C20" s="326"/>
      <c r="D20" s="193"/>
      <c r="E20" s="23" t="s">
        <v>9</v>
      </c>
      <c r="F20" s="327"/>
      <c r="G20" s="326"/>
      <c r="H20" s="193"/>
      <c r="I20" s="6"/>
      <c r="J20" s="312" t="s">
        <v>26</v>
      </c>
      <c r="K20" s="228"/>
      <c r="L20" s="38" t="s">
        <v>9</v>
      </c>
      <c r="M20" s="312" t="s">
        <v>27</v>
      </c>
      <c r="N20" s="228"/>
      <c r="O20" s="6"/>
      <c r="P20" s="226" t="s">
        <v>28</v>
      </c>
      <c r="Q20" s="227"/>
      <c r="R20" s="228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28" t="s">
        <v>150</v>
      </c>
      <c r="C21" s="230"/>
      <c r="D21" s="186"/>
      <c r="E21" s="194">
        <f>COUNT(B10:B17)</f>
        <v>4</v>
      </c>
      <c r="F21" s="330" t="s">
        <v>151</v>
      </c>
      <c r="G21" s="230"/>
      <c r="H21" s="191"/>
      <c r="I21" s="19"/>
      <c r="J21" s="288" t="s">
        <v>152</v>
      </c>
      <c r="K21" s="186"/>
      <c r="L21" s="203">
        <f>COUNT(J10:J16)</f>
        <v>4</v>
      </c>
      <c r="M21" s="313" t="s">
        <v>153</v>
      </c>
      <c r="N21" s="191"/>
      <c r="O21" s="19"/>
      <c r="P21" s="229"/>
      <c r="Q21" s="230"/>
      <c r="R21" s="19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187"/>
      <c r="C22" s="231"/>
      <c r="D22" s="188"/>
      <c r="E22" s="195"/>
      <c r="F22" s="298"/>
      <c r="G22" s="178"/>
      <c r="H22" s="151"/>
      <c r="I22" s="19"/>
      <c r="J22" s="187"/>
      <c r="K22" s="188"/>
      <c r="L22" s="195"/>
      <c r="M22" s="197"/>
      <c r="N22" s="151"/>
      <c r="O22" s="19"/>
      <c r="P22" s="187"/>
      <c r="Q22" s="231"/>
      <c r="R22" s="19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294" t="s">
        <v>154</v>
      </c>
      <c r="C23" s="230"/>
      <c r="D23" s="186"/>
      <c r="E23" s="201">
        <f>SUM(G10:G17)</f>
        <v>400</v>
      </c>
      <c r="F23" s="298"/>
      <c r="G23" s="178"/>
      <c r="H23" s="151"/>
      <c r="I23" s="19"/>
      <c r="J23" s="315" t="s">
        <v>155</v>
      </c>
      <c r="K23" s="186"/>
      <c r="L23" s="201">
        <f>COUNT(K10:K16)</f>
        <v>4</v>
      </c>
      <c r="M23" s="197"/>
      <c r="N23" s="151"/>
      <c r="O23" s="19"/>
      <c r="P23" s="237"/>
      <c r="Q23" s="230"/>
      <c r="R23" s="19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187"/>
      <c r="C24" s="231"/>
      <c r="D24" s="188"/>
      <c r="E24" s="195"/>
      <c r="F24" s="299"/>
      <c r="G24" s="231"/>
      <c r="H24" s="199"/>
      <c r="I24" s="19"/>
      <c r="J24" s="187"/>
      <c r="K24" s="188"/>
      <c r="L24" s="195"/>
      <c r="M24" s="198"/>
      <c r="N24" s="199"/>
      <c r="O24" s="19"/>
      <c r="P24" s="187"/>
      <c r="Q24" s="231"/>
      <c r="R24" s="199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295"/>
      <c r="C25" s="230"/>
      <c r="D25" s="186"/>
      <c r="E25" s="296"/>
      <c r="F25" s="297" t="s">
        <v>156</v>
      </c>
      <c r="G25" s="230"/>
      <c r="H25" s="191"/>
      <c r="I25" s="20"/>
      <c r="J25" s="288" t="s">
        <v>135</v>
      </c>
      <c r="K25" s="186"/>
      <c r="L25" s="203">
        <f>COUNT(L10:L16)</f>
        <v>4</v>
      </c>
      <c r="M25" s="314" t="s">
        <v>157</v>
      </c>
      <c r="N25" s="230"/>
      <c r="O25" s="20"/>
      <c r="P25" s="238"/>
      <c r="Q25" s="230"/>
      <c r="R25" s="19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187"/>
      <c r="C26" s="231"/>
      <c r="D26" s="188"/>
      <c r="E26" s="195"/>
      <c r="F26" s="298"/>
      <c r="G26" s="178"/>
      <c r="H26" s="151"/>
      <c r="I26" s="20"/>
      <c r="J26" s="187"/>
      <c r="K26" s="188"/>
      <c r="L26" s="195"/>
      <c r="M26" s="178"/>
      <c r="N26" s="178"/>
      <c r="O26" s="20"/>
      <c r="P26" s="187"/>
      <c r="Q26" s="231"/>
      <c r="R26" s="199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295"/>
      <c r="C27" s="230"/>
      <c r="D27" s="186"/>
      <c r="E27" s="289"/>
      <c r="F27" s="298"/>
      <c r="G27" s="178"/>
      <c r="H27" s="151"/>
      <c r="I27" s="20"/>
      <c r="J27" s="315" t="s">
        <v>158</v>
      </c>
      <c r="K27" s="186"/>
      <c r="L27" s="241">
        <f>COUNT(M10:M16)</f>
        <v>1</v>
      </c>
      <c r="M27" s="178"/>
      <c r="N27" s="178"/>
      <c r="O27" s="20"/>
      <c r="P27" s="239"/>
      <c r="Q27" s="230"/>
      <c r="R27" s="19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187"/>
      <c r="C28" s="231"/>
      <c r="D28" s="188"/>
      <c r="E28" s="195"/>
      <c r="F28" s="299"/>
      <c r="G28" s="231"/>
      <c r="H28" s="199"/>
      <c r="I28" s="40"/>
      <c r="J28" s="187"/>
      <c r="K28" s="188"/>
      <c r="L28" s="195"/>
      <c r="M28" s="178"/>
      <c r="N28" s="178"/>
      <c r="O28" s="20"/>
      <c r="P28" s="187"/>
      <c r="Q28" s="231"/>
      <c r="R28" s="199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295"/>
      <c r="C29" s="230"/>
      <c r="D29" s="186"/>
      <c r="E29" s="289"/>
      <c r="F29" s="290" t="s">
        <v>159</v>
      </c>
      <c r="G29" s="291"/>
      <c r="H29" s="292"/>
      <c r="I29" s="40"/>
      <c r="J29" s="288" t="s">
        <v>160</v>
      </c>
      <c r="K29" s="186"/>
      <c r="L29" s="203">
        <v>0</v>
      </c>
      <c r="M29" s="178"/>
      <c r="N29" s="178"/>
      <c r="O29" s="40"/>
      <c r="P29" s="238"/>
      <c r="Q29" s="230"/>
      <c r="R29" s="19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29"/>
      <c r="C30" s="141"/>
      <c r="D30" s="202"/>
      <c r="E30" s="204"/>
      <c r="F30" s="293"/>
      <c r="G30" s="141"/>
      <c r="H30" s="130"/>
      <c r="I30" s="40"/>
      <c r="J30" s="129"/>
      <c r="K30" s="202"/>
      <c r="L30" s="204"/>
      <c r="M30" s="141"/>
      <c r="N30" s="141"/>
      <c r="O30" s="40"/>
      <c r="P30" s="129"/>
      <c r="Q30" s="141"/>
      <c r="R30" s="130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35"/>
      <c r="C32" s="178"/>
      <c r="D32" s="178"/>
      <c r="E32" s="178"/>
      <c r="F32" s="178"/>
      <c r="G32" s="178"/>
      <c r="H32" s="178"/>
      <c r="I32" s="178"/>
      <c r="J32" s="178"/>
      <c r="K32" s="178"/>
      <c r="L32" s="178"/>
      <c r="M32" s="178"/>
      <c r="N32" s="178"/>
      <c r="O32" s="178"/>
      <c r="P32" s="178"/>
      <c r="Q32" s="178"/>
      <c r="R32" s="178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2025-11-28T14:12:50Z</dcterms:modified>
</cp:coreProperties>
</file>